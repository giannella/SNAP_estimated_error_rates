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g\errors\"/>
    </mc:Choice>
  </mc:AlternateContent>
  <xr:revisionPtr revIDLastSave="0" documentId="13_ncr:1_{E6EF6AFF-2B41-45B3-A779-505C2E7EAA6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2" i="1" l="1"/>
  <c r="T4" i="1"/>
  <c r="V4" i="1" s="1"/>
  <c r="T9" i="1"/>
  <c r="V9" i="1" s="1"/>
  <c r="T22" i="1"/>
  <c r="V22" i="1" s="1"/>
  <c r="T28" i="1"/>
  <c r="V28" i="1" s="1"/>
  <c r="S4" i="1"/>
  <c r="S5" i="1"/>
  <c r="T5" i="1" s="1"/>
  <c r="V5" i="1" s="1"/>
  <c r="S7" i="1"/>
  <c r="T7" i="1" s="1"/>
  <c r="V7" i="1" s="1"/>
  <c r="S9" i="1"/>
  <c r="S10" i="1"/>
  <c r="T10" i="1" s="1"/>
  <c r="S11" i="1"/>
  <c r="T11" i="1" s="1"/>
  <c r="V11" i="1" s="1"/>
  <c r="S16" i="1"/>
  <c r="T16" i="1" s="1"/>
  <c r="S17" i="1"/>
  <c r="T17" i="1" s="1"/>
  <c r="V17" i="1" s="1"/>
  <c r="S19" i="1"/>
  <c r="T19" i="1" s="1"/>
  <c r="V19" i="1" s="1"/>
  <c r="S21" i="1"/>
  <c r="T21" i="1" s="1"/>
  <c r="S22" i="1"/>
  <c r="S23" i="1"/>
  <c r="T23" i="1" s="1"/>
  <c r="V23" i="1" s="1"/>
  <c r="S28" i="1"/>
  <c r="S29" i="1"/>
  <c r="T29" i="1" s="1"/>
  <c r="V29" i="1" s="1"/>
  <c r="S31" i="1"/>
  <c r="T31" i="1" s="1"/>
  <c r="V31" i="1" s="1"/>
  <c r="S33" i="1"/>
  <c r="T33" i="1" s="1"/>
  <c r="S34" i="1"/>
  <c r="T34" i="1" s="1"/>
  <c r="S35" i="1"/>
  <c r="T35" i="1" s="1"/>
  <c r="V35" i="1" s="1"/>
  <c r="S40" i="1"/>
  <c r="T40" i="1" s="1"/>
  <c r="S41" i="1"/>
  <c r="T41" i="1" s="1"/>
  <c r="V41" i="1" s="1"/>
  <c r="S43" i="1"/>
  <c r="T43" i="1" s="1"/>
  <c r="V43" i="1" s="1"/>
  <c r="S45" i="1"/>
  <c r="T45" i="1" s="1"/>
  <c r="S46" i="1"/>
  <c r="T46" i="1" s="1"/>
  <c r="S47" i="1"/>
  <c r="T47" i="1" s="1"/>
  <c r="V47" i="1" s="1"/>
  <c r="S52" i="1"/>
  <c r="T52" i="1" s="1"/>
  <c r="S53" i="1"/>
  <c r="T53" i="1" s="1"/>
  <c r="V53" i="1" s="1"/>
  <c r="S2" i="1"/>
  <c r="T2" i="1" s="1"/>
  <c r="V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P10" i="1"/>
  <c r="Q10" i="1" s="1"/>
  <c r="P11" i="1"/>
  <c r="Q11" i="1" s="1"/>
  <c r="P12" i="1"/>
  <c r="Q12" i="1" s="1"/>
  <c r="P13" i="1"/>
  <c r="Q13" i="1" s="1"/>
  <c r="P14" i="1"/>
  <c r="Q14" i="1" s="1"/>
  <c r="P15" i="1"/>
  <c r="P16" i="1"/>
  <c r="P17" i="1"/>
  <c r="P18" i="1"/>
  <c r="Q18" i="1" s="1"/>
  <c r="P19" i="1"/>
  <c r="Q19" i="1" s="1"/>
  <c r="P20" i="1"/>
  <c r="Q20" i="1" s="1"/>
  <c r="P21" i="1"/>
  <c r="Q21" i="1" s="1"/>
  <c r="P22" i="1"/>
  <c r="Q22" i="1" s="1"/>
  <c r="P23" i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P52" i="1"/>
  <c r="Q52" i="1" s="1"/>
  <c r="P53" i="1"/>
  <c r="Q53" i="1" s="1"/>
  <c r="P54" i="1"/>
  <c r="Q54" i="1" s="1"/>
  <c r="P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M10" i="1"/>
  <c r="N10" i="1" s="1"/>
  <c r="M11" i="1"/>
  <c r="N11" i="1" s="1"/>
  <c r="M12" i="1"/>
  <c r="N12" i="1" s="1"/>
  <c r="M13" i="1"/>
  <c r="M14" i="1"/>
  <c r="N14" i="1" s="1"/>
  <c r="M15" i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M34" i="1"/>
  <c r="M35" i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M53" i="1"/>
  <c r="N53" i="1" s="1"/>
  <c r="M54" i="1"/>
  <c r="N54" i="1" s="1"/>
  <c r="M2" i="1"/>
  <c r="N2" i="1" s="1"/>
  <c r="R3" i="1"/>
  <c r="S3" i="1" s="1"/>
  <c r="T3" i="1" s="1"/>
  <c r="V3" i="1" s="1"/>
  <c r="W3" i="1" s="1"/>
  <c r="R4" i="1"/>
  <c r="R5" i="1"/>
  <c r="R6" i="1"/>
  <c r="S6" i="1" s="1"/>
  <c r="T6" i="1" s="1"/>
  <c r="V6" i="1" s="1"/>
  <c r="R7" i="1"/>
  <c r="R8" i="1"/>
  <c r="S8" i="1" s="1"/>
  <c r="T8" i="1" s="1"/>
  <c r="V8" i="1" s="1"/>
  <c r="R9" i="1"/>
  <c r="R10" i="1"/>
  <c r="R11" i="1"/>
  <c r="R12" i="1"/>
  <c r="S12" i="1" s="1"/>
  <c r="T12" i="1" s="1"/>
  <c r="V12" i="1" s="1"/>
  <c r="R13" i="1"/>
  <c r="S13" i="1" s="1"/>
  <c r="T13" i="1" s="1"/>
  <c r="V13" i="1" s="1"/>
  <c r="R14" i="1"/>
  <c r="S14" i="1" s="1"/>
  <c r="T14" i="1" s="1"/>
  <c r="V14" i="1" s="1"/>
  <c r="R15" i="1"/>
  <c r="S15" i="1" s="1"/>
  <c r="T15" i="1" s="1"/>
  <c r="V15" i="1" s="1"/>
  <c r="R16" i="1"/>
  <c r="R17" i="1"/>
  <c r="R18" i="1"/>
  <c r="S18" i="1" s="1"/>
  <c r="T18" i="1" s="1"/>
  <c r="V18" i="1" s="1"/>
  <c r="R19" i="1"/>
  <c r="R20" i="1"/>
  <c r="S20" i="1" s="1"/>
  <c r="T20" i="1" s="1"/>
  <c r="V20" i="1" s="1"/>
  <c r="W20" i="1" s="1"/>
  <c r="R21" i="1"/>
  <c r="R22" i="1"/>
  <c r="R23" i="1"/>
  <c r="R24" i="1"/>
  <c r="S24" i="1" s="1"/>
  <c r="T24" i="1" s="1"/>
  <c r="V24" i="1" s="1"/>
  <c r="R25" i="1"/>
  <c r="S25" i="1" s="1"/>
  <c r="T25" i="1" s="1"/>
  <c r="V25" i="1" s="1"/>
  <c r="R26" i="1"/>
  <c r="S26" i="1" s="1"/>
  <c r="T26" i="1" s="1"/>
  <c r="V26" i="1" s="1"/>
  <c r="R27" i="1"/>
  <c r="S27" i="1" s="1"/>
  <c r="T27" i="1" s="1"/>
  <c r="V27" i="1" s="1"/>
  <c r="R28" i="1"/>
  <c r="R29" i="1"/>
  <c r="R30" i="1"/>
  <c r="S30" i="1" s="1"/>
  <c r="T30" i="1" s="1"/>
  <c r="V30" i="1" s="1"/>
  <c r="R31" i="1"/>
  <c r="R32" i="1"/>
  <c r="S32" i="1" s="1"/>
  <c r="T32" i="1" s="1"/>
  <c r="V32" i="1" s="1"/>
  <c r="R33" i="1"/>
  <c r="R34" i="1"/>
  <c r="R35" i="1"/>
  <c r="R36" i="1"/>
  <c r="S36" i="1" s="1"/>
  <c r="T36" i="1" s="1"/>
  <c r="V36" i="1" s="1"/>
  <c r="W36" i="1" s="1"/>
  <c r="R37" i="1"/>
  <c r="S37" i="1" s="1"/>
  <c r="T37" i="1" s="1"/>
  <c r="V37" i="1" s="1"/>
  <c r="W37" i="1" s="1"/>
  <c r="R38" i="1"/>
  <c r="S38" i="1" s="1"/>
  <c r="T38" i="1" s="1"/>
  <c r="V38" i="1" s="1"/>
  <c r="R39" i="1"/>
  <c r="S39" i="1" s="1"/>
  <c r="T39" i="1" s="1"/>
  <c r="V39" i="1" s="1"/>
  <c r="R40" i="1"/>
  <c r="R41" i="1"/>
  <c r="R42" i="1"/>
  <c r="S42" i="1" s="1"/>
  <c r="T42" i="1" s="1"/>
  <c r="V42" i="1" s="1"/>
  <c r="R43" i="1"/>
  <c r="R44" i="1"/>
  <c r="S44" i="1" s="1"/>
  <c r="T44" i="1" s="1"/>
  <c r="V44" i="1" s="1"/>
  <c r="R45" i="1"/>
  <c r="R46" i="1"/>
  <c r="R47" i="1"/>
  <c r="R48" i="1"/>
  <c r="S48" i="1" s="1"/>
  <c r="T48" i="1" s="1"/>
  <c r="V48" i="1" s="1"/>
  <c r="R49" i="1"/>
  <c r="S49" i="1" s="1"/>
  <c r="T49" i="1" s="1"/>
  <c r="V49" i="1" s="1"/>
  <c r="R50" i="1"/>
  <c r="S50" i="1" s="1"/>
  <c r="T50" i="1" s="1"/>
  <c r="V50" i="1" s="1"/>
  <c r="R51" i="1"/>
  <c r="S51" i="1" s="1"/>
  <c r="T51" i="1" s="1"/>
  <c r="V51" i="1" s="1"/>
  <c r="R52" i="1"/>
  <c r="R53" i="1"/>
  <c r="R54" i="1"/>
  <c r="S54" i="1" s="1"/>
  <c r="T54" i="1" s="1"/>
  <c r="V54" i="1" s="1"/>
  <c r="R2" i="1"/>
  <c r="Q9" i="1"/>
  <c r="Q15" i="1"/>
  <c r="Q16" i="1"/>
  <c r="Q17" i="1"/>
  <c r="Q23" i="1"/>
  <c r="Q33" i="1"/>
  <c r="Q51" i="1"/>
  <c r="Q2" i="1"/>
  <c r="N9" i="1"/>
  <c r="N33" i="1"/>
  <c r="N45" i="1"/>
  <c r="N13" i="1"/>
  <c r="N15" i="1"/>
  <c r="N34" i="1"/>
  <c r="N35" i="1"/>
  <c r="N5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J39" i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2" i="1"/>
  <c r="K2" i="1" s="1"/>
  <c r="K38" i="1"/>
  <c r="K39" i="1"/>
  <c r="U21" i="1" l="1"/>
  <c r="V21" i="1"/>
  <c r="V52" i="1"/>
  <c r="U52" i="1"/>
  <c r="V16" i="1"/>
  <c r="U16" i="1"/>
  <c r="V45" i="1"/>
  <c r="W45" i="1" s="1"/>
  <c r="U45" i="1"/>
  <c r="V46" i="1"/>
  <c r="W46" i="1" s="1"/>
  <c r="U46" i="1"/>
  <c r="V34" i="1"/>
  <c r="U34" i="1"/>
  <c r="V10" i="1"/>
  <c r="W10" i="1" s="1"/>
  <c r="U10" i="1"/>
  <c r="V40" i="1"/>
  <c r="W40" i="1" s="1"/>
  <c r="U40" i="1"/>
  <c r="V33" i="1"/>
  <c r="U33" i="1"/>
  <c r="U49" i="1"/>
  <c r="U17" i="1"/>
  <c r="U47" i="1"/>
  <c r="U31" i="1"/>
  <c r="U15" i="1"/>
  <c r="U30" i="1"/>
  <c r="U14" i="1"/>
  <c r="U29" i="1"/>
  <c r="U13" i="1"/>
  <c r="U50" i="1"/>
  <c r="U48" i="1"/>
  <c r="U44" i="1"/>
  <c r="U28" i="1"/>
  <c r="U12" i="1"/>
  <c r="U43" i="1"/>
  <c r="U27" i="1"/>
  <c r="U11" i="1"/>
  <c r="U42" i="1"/>
  <c r="U26" i="1"/>
  <c r="U41" i="1"/>
  <c r="U25" i="1"/>
  <c r="U9" i="1"/>
  <c r="U24" i="1"/>
  <c r="U8" i="1"/>
  <c r="U2" i="1"/>
  <c r="U39" i="1"/>
  <c r="U23" i="1"/>
  <c r="U7" i="1"/>
  <c r="U54" i="1"/>
  <c r="U38" i="1"/>
  <c r="U22" i="1"/>
  <c r="U6" i="1"/>
  <c r="U18" i="1"/>
  <c r="U53" i="1"/>
  <c r="U37" i="1"/>
  <c r="U5" i="1"/>
  <c r="U36" i="1"/>
  <c r="U20" i="1"/>
  <c r="U4" i="1"/>
  <c r="U51" i="1"/>
  <c r="U35" i="1"/>
  <c r="U19" i="1"/>
  <c r="U3" i="1"/>
  <c r="W50" i="1"/>
  <c r="W35" i="1"/>
  <c r="W5" i="1"/>
  <c r="W15" i="1"/>
  <c r="W21" i="1"/>
  <c r="W52" i="1"/>
  <c r="W51" i="1"/>
  <c r="W18" i="1"/>
  <c r="W49" i="1"/>
  <c r="W7" i="1"/>
  <c r="W33" i="1"/>
  <c r="W48" i="1"/>
  <c r="W32" i="1"/>
  <c r="W12" i="1"/>
  <c r="W31" i="1"/>
  <c r="W24" i="1"/>
  <c r="W39" i="1"/>
  <c r="W53" i="1"/>
  <c r="W28" i="1"/>
  <c r="W14" i="1"/>
  <c r="W8" i="1"/>
  <c r="W54" i="1"/>
  <c r="W38" i="1"/>
  <c r="W6" i="1"/>
  <c r="W19" i="1"/>
  <c r="W22" i="1"/>
  <c r="W47" i="1"/>
  <c r="W17" i="1"/>
  <c r="W16" i="1"/>
  <c r="W11" i="1"/>
  <c r="W43" i="1"/>
  <c r="W41" i="1"/>
  <c r="W29" i="1"/>
  <c r="W13" i="1"/>
  <c r="W9" i="1"/>
  <c r="W27" i="1"/>
  <c r="W42" i="1"/>
  <c r="W26" i="1"/>
  <c r="W30" i="1"/>
  <c r="W44" i="1"/>
  <c r="W25" i="1"/>
  <c r="W23" i="1"/>
  <c r="W34" i="1"/>
  <c r="W2" i="1"/>
  <c r="W4" i="1"/>
</calcChain>
</file>

<file path=xl/sharedStrings.xml><?xml version="1.0" encoding="utf-8"?>
<sst xmlns="http://schemas.openxmlformats.org/spreadsheetml/2006/main" count="77" uniqueCount="77">
  <si>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</si>
  <si>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</si>
  <si>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</si>
  <si>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</si>
  <si>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</si>
  <si>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</si>
  <si>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</si>
  <si>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</si>
  <si>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</si>
  <si>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</si>
  <si>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</si>
  <si>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</si>
  <si>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</si>
  <si>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</si>
  <si>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</si>
  <si>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</si>
  <si>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</si>
  <si>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</si>
  <si>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</si>
  <si>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</si>
  <si>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</si>
  <si>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</si>
  <si>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</si>
  <si>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</si>
  <si>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</si>
  <si>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</si>
  <si>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</si>
  <si>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</si>
  <si>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</si>
  <si>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</si>
  <si>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</si>
  <si>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</si>
  <si>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</si>
  <si>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</si>
  <si>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</si>
  <si>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</si>
  <si>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</si>
  <si>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</si>
  <si>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</si>
  <si>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</si>
  <si>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</si>
  <si>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</si>
  <si>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</si>
  <si>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</si>
  <si>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</si>
  <si>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</si>
  <si>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</si>
  <si>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</si>
  <si>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</si>
  <si>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</si>
  <si>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</si>
  <si>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</si>
  <si>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</si>
  <si>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</si>
  <si>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Cost</t>
  </si>
  <si>
    <t>Cost Per Household</t>
  </si>
  <si>
    <t>Actual Over Payments</t>
  </si>
  <si>
    <t>Actual Under Payments</t>
  </si>
  <si>
    <t>Actual Error Rates</t>
  </si>
  <si>
    <t>Actual Cost Share</t>
  </si>
  <si>
    <t>Actual Cost</t>
  </si>
  <si>
    <t>New Cost Share</t>
  </si>
  <si>
    <t>New Cost</t>
  </si>
  <si>
    <t>QC Threshold Error Rates</t>
  </si>
  <si>
    <t>QC Threshold Cost Share</t>
  </si>
  <si>
    <t>QC Threshold Cost</t>
  </si>
  <si>
    <t>QC Zero Error Rates</t>
  </si>
  <si>
    <t>QC Zero Cost Share</t>
  </si>
  <si>
    <t>QC Zero Cost</t>
  </si>
  <si>
    <t>QC Method Rate Change</t>
  </si>
  <si>
    <t>New Error Rate</t>
  </si>
  <si>
    <t>New Cost Change</t>
  </si>
  <si>
    <t>Null</t>
  </si>
  <si>
    <t>New Cost Share Change</t>
  </si>
  <si>
    <t>Participation Household</t>
  </si>
  <si>
    <t>Participation Persons</t>
  </si>
  <si>
    <t>Cost Per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</si>
</sst>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14181F"/>
      <name val="Var(--font-mono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" fontId="0" fillId="0" borderId="0" xfId="0" applyNumberFormat="1"/>
    <xf numFmtId="0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workbookViewId="0">
      <selection activeCell="I51" sqref="I51"/>
    </sheetView>
  </sheetViews>
  <sheetFormatPr defaultColWidth="10.6640625" defaultRowHeight="15.5"/>
  <cols>
    <col min="1" max="1" width="17.5" bestFit="1" customWidth="1"/>
    <col min="4" max="4" width="15.1640625" customWidth="1"/>
    <col min="5" max="5" width="17" bestFit="1" customWidth="1"/>
    <col min="6" max="6" width="13.83203125" bestFit="1" customWidth="1"/>
    <col min="7" max="7" width="13.5" bestFit="1" customWidth="1"/>
    <col min="8" max="8" width="14.6640625" bestFit="1" customWidth="1"/>
    <col min="9" max="9" width="18.1640625" bestFit="1" customWidth="1"/>
    <col min="10" max="10" width="28.83203125" bestFit="1" customWidth="1"/>
    <col min="11" max="11" width="23.83203125" customWidth="1"/>
    <col min="12" max="12" width="22" bestFit="1" customWidth="1"/>
    <col min="13" max="13" width="21.5" bestFit="1" customWidth="1"/>
    <col min="14" max="14" width="16" bestFit="1" customWidth="1"/>
    <col min="15" max="15" width="14.6640625" bestFit="1" customWidth="1"/>
    <col min="16" max="16" width="18.33203125" customWidth="1"/>
    <col min="18" max="18" width="21.5" style="3" bestFit="1" customWidth="1"/>
    <col min="19" max="19" width="13.83203125" style="2" bestFit="1" customWidth="1"/>
    <col min="20" max="20" width="16.33203125" bestFit="1" customWidth="1"/>
    <col min="21" max="21" width="16.33203125" customWidth="1"/>
    <col min="23" max="23" width="15.5" bestFit="1" customWidth="1"/>
  </cols>
  <sheetData>
    <row r="1" spans="1:24">
      <c r="A1" t="s">
        <v>0</v>
      </c>
      <c r="B1" t="s">
        <v>74</v>
      </c>
      <c r="C1" t="s">
        <v>75</v>
      </c>
      <c r="D1" t="s">
        <v>54</v>
      </c>
      <c r="E1" t="s">
        <v>55</v>
      </c>
      <c r="F1" t="s">
        <v>76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s="3" t="s">
        <v>69</v>
      </c>
      <c r="S1" s="2" t="s">
        <v>70</v>
      </c>
      <c r="T1" s="3" t="s">
        <v>61</v>
      </c>
      <c r="U1" s="3" t="s">
        <v>73</v>
      </c>
      <c r="V1" s="3" t="s">
        <v>62</v>
      </c>
      <c r="W1" s="3" t="s">
        <v>71</v>
      </c>
      <c r="X1" s="3" t="s">
        <v>72</v>
      </c>
    </row>
    <row r="2" spans="1:24">
      <c r="A2" t="s">
        <v>1</v>
      </c>
      <c r="B2">
        <v>376038.6667</v>
      </c>
      <c r="C2">
        <v>752160.75</v>
      </c>
      <c r="D2">
        <v>1733693703</v>
      </c>
      <c r="E2">
        <v>384.2011</v>
      </c>
      <c r="F2">
        <v>192.07929999999999</v>
      </c>
      <c r="G2">
        <v>7.32</v>
      </c>
      <c r="H2">
        <v>0.99</v>
      </c>
      <c r="I2">
        <v>8.32</v>
      </c>
      <c r="J2" s="1">
        <f>IF(I2&lt;6, 0, IF(I2&lt;8, 5, IF(I2&lt;10, 10, 15)))</f>
        <v>10</v>
      </c>
      <c r="K2" s="2">
        <f t="shared" ref="K2:K33" si="0">D2*J2/100</f>
        <v>173369370.30000001</v>
      </c>
      <c r="L2">
        <v>5.56</v>
      </c>
      <c r="M2" s="1">
        <f>IF(L2&lt;6, 0, IF(L2&lt;8, 5, IF(L2&lt;10, 10, 15)))</f>
        <v>0</v>
      </c>
      <c r="N2" s="2">
        <f>$D2*M2/100</f>
        <v>0</v>
      </c>
      <c r="O2">
        <v>6.85</v>
      </c>
      <c r="P2" s="1">
        <f>IF(O2&lt;6, 0, IF(O2&lt;8, 5, IF(O2&lt;10, 10, 15)))</f>
        <v>5</v>
      </c>
      <c r="Q2" s="2">
        <f>$D2*P2/100</f>
        <v>86684685.150000006</v>
      </c>
      <c r="R2" s="3">
        <f>O2-L2</f>
        <v>1.29</v>
      </c>
      <c r="S2" s="4">
        <f>I2+R2</f>
        <v>9.61</v>
      </c>
      <c r="T2" s="1">
        <f>IF(S2&lt;6, 0, IF(S2&lt;8, 5, IF(S2&lt;10, 10, 15)))</f>
        <v>10</v>
      </c>
      <c r="U2" s="1">
        <f>T2-J2</f>
        <v>0</v>
      </c>
      <c r="V2" s="2">
        <f>$D2*T2/100</f>
        <v>173369370.30000001</v>
      </c>
      <c r="W2" s="2">
        <f>V2-K2</f>
        <v>0</v>
      </c>
      <c r="X2">
        <v>1</v>
      </c>
    </row>
    <row r="3" spans="1:24">
      <c r="A3" t="s">
        <v>2</v>
      </c>
      <c r="B3">
        <v>31319.25</v>
      </c>
      <c r="C3">
        <v>68261.25</v>
      </c>
      <c r="D3">
        <v>249618195</v>
      </c>
      <c r="E3">
        <v>664.17669999999998</v>
      </c>
      <c r="F3">
        <v>304.73390000000001</v>
      </c>
      <c r="G3">
        <v>22.5</v>
      </c>
      <c r="H3">
        <v>2.16</v>
      </c>
      <c r="I3">
        <v>24.66</v>
      </c>
      <c r="J3" s="1">
        <f t="shared" ref="J3:J54" si="1">IF(I3&lt;6, 0, IF(I3&lt;8, 5, IF(I3&lt;10, 10, 15)))</f>
        <v>15</v>
      </c>
      <c r="K3" s="2">
        <f t="shared" si="0"/>
        <v>37442729.25</v>
      </c>
      <c r="L3">
        <v>3.58</v>
      </c>
      <c r="M3" s="1">
        <f t="shared" ref="M3:M54" si="2">IF(L3&lt;6, 0, IF(L3&lt;8, 5, IF(L3&lt;10, 10, 15)))</f>
        <v>0</v>
      </c>
      <c r="N3" s="2">
        <f t="shared" ref="N3:N54" si="3">$D3*M3/100</f>
        <v>0</v>
      </c>
      <c r="O3">
        <v>4.51</v>
      </c>
      <c r="P3" s="1">
        <f t="shared" ref="P3:P54" si="4">IF(O3&lt;6, 0, IF(O3&lt;8, 5, IF(O3&lt;10, 10, 15)))</f>
        <v>0</v>
      </c>
      <c r="Q3" s="2">
        <f t="shared" ref="Q3:Q54" si="5">$D3*P3/100</f>
        <v>0</v>
      </c>
      <c r="R3" s="3">
        <f t="shared" ref="R3:R54" si="6">O3-L3</f>
        <v>0.92999999999999972</v>
      </c>
      <c r="S3" s="4">
        <f t="shared" ref="S3:S54" si="7">I3+R3</f>
        <v>25.59</v>
      </c>
      <c r="T3" s="1">
        <f t="shared" ref="T3:T54" si="8">IF(S3&lt;6, 0, IF(S3&lt;8, 5, IF(S3&lt;10, 10, 15)))</f>
        <v>15</v>
      </c>
      <c r="U3" s="1">
        <f t="shared" ref="U3:U54" si="9">T3-J3</f>
        <v>0</v>
      </c>
      <c r="V3" s="2">
        <f t="shared" ref="V3:V54" si="10">$D3*T3/100</f>
        <v>37442729.25</v>
      </c>
      <c r="W3" s="2">
        <f t="shared" ref="W3:W54" si="11">V3-K3</f>
        <v>0</v>
      </c>
      <c r="X3">
        <v>1</v>
      </c>
    </row>
    <row r="4" spans="1:24">
      <c r="A4" t="s">
        <v>3</v>
      </c>
      <c r="B4">
        <v>454028.5</v>
      </c>
      <c r="C4">
        <v>923399.66669999994</v>
      </c>
      <c r="D4">
        <v>2015185004</v>
      </c>
      <c r="E4">
        <v>369.87119999999999</v>
      </c>
      <c r="F4">
        <v>181.86279999999999</v>
      </c>
      <c r="G4">
        <v>7.56</v>
      </c>
      <c r="H4">
        <v>1.28</v>
      </c>
      <c r="I4">
        <v>8.84</v>
      </c>
      <c r="J4" s="1">
        <f t="shared" si="1"/>
        <v>10</v>
      </c>
      <c r="K4" s="2">
        <f>D4*J4/100</f>
        <v>201518500.40000001</v>
      </c>
      <c r="L4">
        <v>8.49</v>
      </c>
      <c r="M4" s="1">
        <f t="shared" si="2"/>
        <v>10</v>
      </c>
      <c r="N4" s="2">
        <f t="shared" si="3"/>
        <v>201518500.40000001</v>
      </c>
      <c r="O4">
        <v>9.6999999999999993</v>
      </c>
      <c r="P4" s="1">
        <f t="shared" si="4"/>
        <v>10</v>
      </c>
      <c r="Q4" s="2">
        <f t="shared" si="5"/>
        <v>201518500.40000001</v>
      </c>
      <c r="R4" s="3">
        <f t="shared" si="6"/>
        <v>1.2099999999999991</v>
      </c>
      <c r="S4" s="4">
        <f t="shared" si="7"/>
        <v>10.049999999999999</v>
      </c>
      <c r="T4" s="1">
        <f t="shared" si="8"/>
        <v>15</v>
      </c>
      <c r="U4" s="1">
        <f t="shared" si="9"/>
        <v>5</v>
      </c>
      <c r="V4" s="2">
        <f t="shared" si="10"/>
        <v>302277750.60000002</v>
      </c>
      <c r="W4" s="2">
        <f t="shared" si="11"/>
        <v>100759250.20000002</v>
      </c>
      <c r="X4">
        <v>1</v>
      </c>
    </row>
    <row r="5" spans="1:24">
      <c r="A5" t="s">
        <v>4</v>
      </c>
      <c r="B5">
        <v>126651.4167</v>
      </c>
      <c r="C5">
        <v>240122.0833</v>
      </c>
      <c r="D5">
        <v>515343148</v>
      </c>
      <c r="E5">
        <v>339.08240000000001</v>
      </c>
      <c r="F5">
        <v>178.8476</v>
      </c>
      <c r="G5">
        <v>7.97</v>
      </c>
      <c r="H5">
        <v>1.59</v>
      </c>
      <c r="I5">
        <v>9.56</v>
      </c>
      <c r="J5" s="1">
        <f t="shared" si="1"/>
        <v>10</v>
      </c>
      <c r="K5" s="2">
        <f t="shared" si="0"/>
        <v>51534314.799999997</v>
      </c>
      <c r="L5">
        <v>2.5099999999999998</v>
      </c>
      <c r="M5" s="1">
        <f t="shared" si="2"/>
        <v>0</v>
      </c>
      <c r="N5" s="2">
        <f t="shared" si="3"/>
        <v>0</v>
      </c>
      <c r="O5">
        <v>3.99</v>
      </c>
      <c r="P5" s="1">
        <f t="shared" si="4"/>
        <v>0</v>
      </c>
      <c r="Q5" s="2">
        <f t="shared" si="5"/>
        <v>0</v>
      </c>
      <c r="R5" s="3">
        <f t="shared" si="6"/>
        <v>1.4800000000000004</v>
      </c>
      <c r="S5" s="4">
        <f t="shared" si="7"/>
        <v>11.040000000000001</v>
      </c>
      <c r="T5" s="1">
        <f t="shared" si="8"/>
        <v>15</v>
      </c>
      <c r="U5" s="1">
        <f t="shared" si="9"/>
        <v>5</v>
      </c>
      <c r="V5" s="2">
        <f t="shared" si="10"/>
        <v>77301472.200000003</v>
      </c>
      <c r="W5" s="2">
        <f t="shared" si="11"/>
        <v>25767157.400000006</v>
      </c>
      <c r="X5">
        <v>1</v>
      </c>
    </row>
    <row r="6" spans="1:24">
      <c r="A6" t="s">
        <v>5</v>
      </c>
      <c r="B6">
        <v>3128639.6666999999</v>
      </c>
      <c r="C6">
        <v>5379574.6666999999</v>
      </c>
      <c r="D6">
        <v>12183085552</v>
      </c>
      <c r="E6">
        <v>324.5043</v>
      </c>
      <c r="F6">
        <v>188.7244</v>
      </c>
      <c r="G6">
        <v>9.01</v>
      </c>
      <c r="H6">
        <v>1.98</v>
      </c>
      <c r="I6">
        <v>10.98</v>
      </c>
      <c r="J6" s="1">
        <f t="shared" si="1"/>
        <v>15</v>
      </c>
      <c r="K6" s="2">
        <f t="shared" si="0"/>
        <v>1827462832.8</v>
      </c>
      <c r="L6">
        <v>8.08</v>
      </c>
      <c r="M6" s="1">
        <f t="shared" si="2"/>
        <v>10</v>
      </c>
      <c r="N6" s="2">
        <f t="shared" si="3"/>
        <v>1218308555.2</v>
      </c>
      <c r="O6">
        <v>10.1</v>
      </c>
      <c r="P6" s="1">
        <f t="shared" si="4"/>
        <v>15</v>
      </c>
      <c r="Q6" s="2">
        <f t="shared" si="5"/>
        <v>1827462832.8</v>
      </c>
      <c r="R6" s="3">
        <f t="shared" si="6"/>
        <v>2.0199999999999996</v>
      </c>
      <c r="S6" s="4">
        <f t="shared" si="7"/>
        <v>13</v>
      </c>
      <c r="T6" s="1">
        <f t="shared" si="8"/>
        <v>15</v>
      </c>
      <c r="U6" s="1">
        <f t="shared" si="9"/>
        <v>0</v>
      </c>
      <c r="V6" s="2">
        <f t="shared" si="10"/>
        <v>1827462832.8</v>
      </c>
      <c r="W6" s="2">
        <f t="shared" si="11"/>
        <v>0</v>
      </c>
      <c r="X6">
        <v>1</v>
      </c>
    </row>
    <row r="7" spans="1:24">
      <c r="A7" t="s">
        <v>6</v>
      </c>
      <c r="B7">
        <v>312321.75</v>
      </c>
      <c r="C7">
        <v>584469.5</v>
      </c>
      <c r="D7">
        <v>1303172697</v>
      </c>
      <c r="E7">
        <v>347.71109999999999</v>
      </c>
      <c r="F7">
        <v>185.8056</v>
      </c>
      <c r="G7">
        <v>7.91</v>
      </c>
      <c r="H7">
        <v>2.06</v>
      </c>
      <c r="I7">
        <v>9.9700000000000006</v>
      </c>
      <c r="J7" s="1">
        <f t="shared" si="1"/>
        <v>10</v>
      </c>
      <c r="K7" s="2">
        <f t="shared" si="0"/>
        <v>130317269.7</v>
      </c>
      <c r="L7">
        <v>5.7</v>
      </c>
      <c r="M7" s="1">
        <f t="shared" si="2"/>
        <v>0</v>
      </c>
      <c r="N7" s="2">
        <f t="shared" si="3"/>
        <v>0</v>
      </c>
      <c r="O7">
        <v>6.97</v>
      </c>
      <c r="P7" s="1">
        <f t="shared" si="4"/>
        <v>5</v>
      </c>
      <c r="Q7" s="2">
        <f t="shared" si="5"/>
        <v>65158634.850000001</v>
      </c>
      <c r="R7" s="3">
        <f t="shared" si="6"/>
        <v>1.2699999999999996</v>
      </c>
      <c r="S7" s="4">
        <f t="shared" si="7"/>
        <v>11.24</v>
      </c>
      <c r="T7" s="1">
        <f t="shared" si="8"/>
        <v>15</v>
      </c>
      <c r="U7" s="1">
        <f t="shared" si="9"/>
        <v>5</v>
      </c>
      <c r="V7" s="2">
        <f t="shared" si="10"/>
        <v>195475904.55000001</v>
      </c>
      <c r="W7" s="2">
        <f t="shared" si="11"/>
        <v>65158634.850000009</v>
      </c>
      <c r="X7">
        <v>1</v>
      </c>
    </row>
    <row r="8" spans="1:24">
      <c r="A8" t="s">
        <v>7</v>
      </c>
      <c r="B8">
        <v>229620.25</v>
      </c>
      <c r="C8">
        <v>391204.3333</v>
      </c>
      <c r="D8">
        <v>892819650</v>
      </c>
      <c r="E8">
        <v>324.0204</v>
      </c>
      <c r="F8">
        <v>190.18610000000001</v>
      </c>
      <c r="G8">
        <v>8.61</v>
      </c>
      <c r="H8">
        <v>1.65</v>
      </c>
      <c r="I8">
        <v>10.25</v>
      </c>
      <c r="J8" s="1">
        <f t="shared" si="1"/>
        <v>15</v>
      </c>
      <c r="K8" s="2">
        <f t="shared" si="0"/>
        <v>133922947.5</v>
      </c>
      <c r="L8">
        <v>6.97</v>
      </c>
      <c r="M8" s="1">
        <f t="shared" si="2"/>
        <v>5</v>
      </c>
      <c r="N8" s="2">
        <f t="shared" si="3"/>
        <v>44640982.5</v>
      </c>
      <c r="O8">
        <v>8.93</v>
      </c>
      <c r="P8" s="1">
        <f t="shared" si="4"/>
        <v>10</v>
      </c>
      <c r="Q8" s="2">
        <f t="shared" si="5"/>
        <v>89281965</v>
      </c>
      <c r="R8" s="3">
        <f t="shared" si="6"/>
        <v>1.96</v>
      </c>
      <c r="S8" s="4">
        <f t="shared" si="7"/>
        <v>12.21</v>
      </c>
      <c r="T8" s="1">
        <f t="shared" si="8"/>
        <v>15</v>
      </c>
      <c r="U8" s="1">
        <f t="shared" si="9"/>
        <v>0</v>
      </c>
      <c r="V8" s="2">
        <f t="shared" si="10"/>
        <v>133922947.5</v>
      </c>
      <c r="W8" s="2">
        <f t="shared" si="11"/>
        <v>0</v>
      </c>
      <c r="X8">
        <v>1</v>
      </c>
    </row>
    <row r="9" spans="1:24">
      <c r="A9" t="s">
        <v>8</v>
      </c>
      <c r="B9">
        <v>59192.25</v>
      </c>
      <c r="C9">
        <v>118186.0833</v>
      </c>
      <c r="D9">
        <v>254854243</v>
      </c>
      <c r="E9">
        <v>358.79450000000003</v>
      </c>
      <c r="F9">
        <v>179.69839999999999</v>
      </c>
      <c r="G9">
        <v>10.49</v>
      </c>
      <c r="H9">
        <v>1.88</v>
      </c>
      <c r="I9">
        <v>12.37</v>
      </c>
      <c r="J9" s="1">
        <f t="shared" si="1"/>
        <v>15</v>
      </c>
      <c r="K9" s="2">
        <f t="shared" si="0"/>
        <v>38228136.450000003</v>
      </c>
      <c r="L9">
        <v>8</v>
      </c>
      <c r="M9" s="1">
        <f t="shared" si="2"/>
        <v>10</v>
      </c>
      <c r="N9" s="2">
        <f t="shared" si="3"/>
        <v>25485424.300000001</v>
      </c>
      <c r="O9">
        <v>9.69</v>
      </c>
      <c r="P9" s="1">
        <f t="shared" si="4"/>
        <v>10</v>
      </c>
      <c r="Q9" s="2">
        <f t="shared" si="5"/>
        <v>25485424.300000001</v>
      </c>
      <c r="R9" s="3">
        <f t="shared" si="6"/>
        <v>1.6899999999999995</v>
      </c>
      <c r="S9" s="4">
        <f t="shared" si="7"/>
        <v>14.059999999999999</v>
      </c>
      <c r="T9" s="1">
        <f t="shared" si="8"/>
        <v>15</v>
      </c>
      <c r="U9" s="1">
        <f t="shared" si="9"/>
        <v>0</v>
      </c>
      <c r="V9" s="2">
        <f t="shared" si="10"/>
        <v>38228136.450000003</v>
      </c>
      <c r="W9" s="2">
        <f t="shared" si="11"/>
        <v>0</v>
      </c>
      <c r="X9">
        <v>1</v>
      </c>
    </row>
    <row r="10" spans="1:24">
      <c r="A10" t="s">
        <v>9</v>
      </c>
      <c r="B10">
        <v>84034.25</v>
      </c>
      <c r="C10">
        <v>137451.75</v>
      </c>
      <c r="D10">
        <v>319119173</v>
      </c>
      <c r="E10">
        <v>316.45740000000001</v>
      </c>
      <c r="F10">
        <v>193.4735</v>
      </c>
      <c r="G10">
        <v>13.62</v>
      </c>
      <c r="H10">
        <v>3.76</v>
      </c>
      <c r="I10">
        <v>17.38</v>
      </c>
      <c r="J10" s="1">
        <f t="shared" si="1"/>
        <v>15</v>
      </c>
      <c r="K10" s="2">
        <f t="shared" si="0"/>
        <v>47867875.950000003</v>
      </c>
      <c r="L10">
        <v>15.4</v>
      </c>
      <c r="M10" s="1">
        <f t="shared" si="2"/>
        <v>15</v>
      </c>
      <c r="N10" s="2">
        <f t="shared" si="3"/>
        <v>47867875.950000003</v>
      </c>
      <c r="O10">
        <v>17.100000000000001</v>
      </c>
      <c r="P10" s="1">
        <f t="shared" si="4"/>
        <v>15</v>
      </c>
      <c r="Q10" s="2">
        <f t="shared" si="5"/>
        <v>47867875.950000003</v>
      </c>
      <c r="R10" s="3">
        <f t="shared" si="6"/>
        <v>1.7000000000000011</v>
      </c>
      <c r="S10" s="4">
        <f t="shared" si="7"/>
        <v>19.079999999999998</v>
      </c>
      <c r="T10" s="1">
        <f t="shared" si="8"/>
        <v>15</v>
      </c>
      <c r="U10" s="1">
        <f t="shared" si="9"/>
        <v>0</v>
      </c>
      <c r="V10" s="2">
        <f t="shared" si="10"/>
        <v>47867875.950000003</v>
      </c>
      <c r="W10" s="2">
        <f t="shared" si="11"/>
        <v>0</v>
      </c>
      <c r="X10">
        <v>1</v>
      </c>
    </row>
    <row r="11" spans="1:24">
      <c r="A11" t="s">
        <v>10</v>
      </c>
      <c r="B11">
        <v>1643654.1817999999</v>
      </c>
      <c r="C11">
        <v>2965369.2727000001</v>
      </c>
      <c r="D11">
        <v>5982609034</v>
      </c>
      <c r="E11">
        <v>330.8929</v>
      </c>
      <c r="F11">
        <v>183.4084</v>
      </c>
      <c r="G11">
        <v>13.05</v>
      </c>
      <c r="H11">
        <v>2.08</v>
      </c>
      <c r="I11">
        <v>15.13</v>
      </c>
      <c r="J11" s="1">
        <f t="shared" si="1"/>
        <v>15</v>
      </c>
      <c r="K11" s="2">
        <f t="shared" si="0"/>
        <v>897391355.10000002</v>
      </c>
      <c r="L11">
        <v>8.44</v>
      </c>
      <c r="M11" s="1">
        <f t="shared" si="2"/>
        <v>10</v>
      </c>
      <c r="N11" s="2">
        <f t="shared" si="3"/>
        <v>598260903.39999998</v>
      </c>
      <c r="O11">
        <v>10.3</v>
      </c>
      <c r="P11" s="1">
        <f t="shared" si="4"/>
        <v>15</v>
      </c>
      <c r="Q11" s="2">
        <f t="shared" si="5"/>
        <v>897391355.10000002</v>
      </c>
      <c r="R11" s="3">
        <f t="shared" si="6"/>
        <v>1.8600000000000012</v>
      </c>
      <c r="S11" s="4">
        <f t="shared" si="7"/>
        <v>16.990000000000002</v>
      </c>
      <c r="T11" s="1">
        <f t="shared" si="8"/>
        <v>15</v>
      </c>
      <c r="U11" s="1">
        <f t="shared" si="9"/>
        <v>0</v>
      </c>
      <c r="V11" s="2">
        <f t="shared" si="10"/>
        <v>897391355.10000002</v>
      </c>
      <c r="W11" s="2">
        <f t="shared" si="11"/>
        <v>0</v>
      </c>
      <c r="X11">
        <v>1</v>
      </c>
    </row>
    <row r="12" spans="1:24">
      <c r="A12" t="s">
        <v>11</v>
      </c>
      <c r="B12">
        <v>684250.66669999994</v>
      </c>
      <c r="C12">
        <v>1413939.6666999999</v>
      </c>
      <c r="D12">
        <v>3181329856</v>
      </c>
      <c r="E12">
        <v>387.44690000000003</v>
      </c>
      <c r="F12">
        <v>187.49799999999999</v>
      </c>
      <c r="G12">
        <v>13.59</v>
      </c>
      <c r="H12">
        <v>2.06</v>
      </c>
      <c r="I12">
        <v>15.65</v>
      </c>
      <c r="J12" s="1">
        <f t="shared" si="1"/>
        <v>15</v>
      </c>
      <c r="K12" s="2">
        <f t="shared" si="0"/>
        <v>477199478.39999998</v>
      </c>
      <c r="L12">
        <v>11.9</v>
      </c>
      <c r="M12" s="1">
        <f t="shared" si="2"/>
        <v>15</v>
      </c>
      <c r="N12" s="2">
        <f t="shared" si="3"/>
        <v>477199478.39999998</v>
      </c>
      <c r="O12">
        <v>13.7</v>
      </c>
      <c r="P12" s="1">
        <f t="shared" si="4"/>
        <v>15</v>
      </c>
      <c r="Q12" s="2">
        <f t="shared" si="5"/>
        <v>477199478.39999998</v>
      </c>
      <c r="R12" s="3">
        <f t="shared" si="6"/>
        <v>1.7999999999999989</v>
      </c>
      <c r="S12" s="4">
        <f t="shared" si="7"/>
        <v>17.45</v>
      </c>
      <c r="T12" s="1">
        <f t="shared" si="8"/>
        <v>15</v>
      </c>
      <c r="U12" s="1">
        <f t="shared" si="9"/>
        <v>0</v>
      </c>
      <c r="V12" s="2">
        <f t="shared" si="10"/>
        <v>477199478.39999998</v>
      </c>
      <c r="W12" s="2">
        <f t="shared" si="11"/>
        <v>0</v>
      </c>
      <c r="X12">
        <v>1</v>
      </c>
    </row>
    <row r="13" spans="1:24">
      <c r="A13" t="s">
        <v>12</v>
      </c>
      <c r="B13">
        <v>12194.1667</v>
      </c>
      <c r="C13">
        <v>32715.833299999998</v>
      </c>
      <c r="D13">
        <v>119035771</v>
      </c>
      <c r="E13">
        <v>813.47479999999996</v>
      </c>
      <c r="F13">
        <v>303.2063</v>
      </c>
      <c r="G13">
        <v>7.88</v>
      </c>
      <c r="H13">
        <v>1.84</v>
      </c>
      <c r="I13">
        <v>9.7200000000000006</v>
      </c>
      <c r="J13" s="1">
        <f t="shared" si="1"/>
        <v>10</v>
      </c>
      <c r="K13" s="2">
        <f t="shared" si="0"/>
        <v>11903577.1</v>
      </c>
      <c r="L13">
        <v>6.83</v>
      </c>
      <c r="M13" s="1">
        <f t="shared" si="2"/>
        <v>5</v>
      </c>
      <c r="N13" s="2">
        <f t="shared" si="3"/>
        <v>5951788.5499999998</v>
      </c>
      <c r="O13">
        <v>7.85</v>
      </c>
      <c r="P13" s="1">
        <f t="shared" si="4"/>
        <v>5</v>
      </c>
      <c r="Q13" s="2">
        <f t="shared" si="5"/>
        <v>5951788.5499999998</v>
      </c>
      <c r="R13" s="3">
        <f t="shared" si="6"/>
        <v>1.0199999999999996</v>
      </c>
      <c r="S13" s="4">
        <f t="shared" si="7"/>
        <v>10.74</v>
      </c>
      <c r="T13" s="1">
        <f t="shared" si="8"/>
        <v>15</v>
      </c>
      <c r="U13" s="1">
        <f t="shared" si="9"/>
        <v>5</v>
      </c>
      <c r="V13" s="2">
        <f t="shared" si="10"/>
        <v>17855365.649999999</v>
      </c>
      <c r="W13" s="2">
        <f t="shared" si="11"/>
        <v>5951788.5499999989</v>
      </c>
      <c r="X13">
        <v>1</v>
      </c>
    </row>
    <row r="14" spans="1:24">
      <c r="A14" t="s">
        <v>13</v>
      </c>
      <c r="B14">
        <v>86616.083299999998</v>
      </c>
      <c r="C14">
        <v>161609.0833</v>
      </c>
      <c r="D14">
        <v>731331421</v>
      </c>
      <c r="E14">
        <v>703.61400000000003</v>
      </c>
      <c r="F14">
        <v>377.10930000000002</v>
      </c>
      <c r="G14">
        <v>5.87</v>
      </c>
      <c r="H14">
        <v>0.8</v>
      </c>
      <c r="I14">
        <v>6.68</v>
      </c>
      <c r="J14" s="1">
        <f t="shared" si="1"/>
        <v>5</v>
      </c>
      <c r="K14" s="2">
        <f t="shared" si="0"/>
        <v>36566571.049999997</v>
      </c>
      <c r="L14">
        <v>3.39</v>
      </c>
      <c r="M14" s="1">
        <f t="shared" si="2"/>
        <v>0</v>
      </c>
      <c r="N14" s="2">
        <f t="shared" si="3"/>
        <v>0</v>
      </c>
      <c r="O14">
        <v>4.4000000000000004</v>
      </c>
      <c r="P14" s="1">
        <f t="shared" si="4"/>
        <v>0</v>
      </c>
      <c r="Q14" s="2">
        <f t="shared" si="5"/>
        <v>0</v>
      </c>
      <c r="R14" s="3">
        <f t="shared" si="6"/>
        <v>1.0100000000000002</v>
      </c>
      <c r="S14" s="4">
        <f t="shared" si="7"/>
        <v>7.6899999999999995</v>
      </c>
      <c r="T14" s="1">
        <f t="shared" si="8"/>
        <v>5</v>
      </c>
      <c r="U14" s="1">
        <f t="shared" si="9"/>
        <v>0</v>
      </c>
      <c r="V14" s="2">
        <f t="shared" si="10"/>
        <v>36566571.049999997</v>
      </c>
      <c r="W14" s="2">
        <f t="shared" si="11"/>
        <v>0</v>
      </c>
      <c r="X14">
        <v>1</v>
      </c>
    </row>
    <row r="15" spans="1:24">
      <c r="A15" t="s">
        <v>14</v>
      </c>
      <c r="B15">
        <v>65297.916700000002</v>
      </c>
      <c r="C15">
        <v>130853.3333</v>
      </c>
      <c r="D15">
        <v>281230283</v>
      </c>
      <c r="E15">
        <v>358.9067</v>
      </c>
      <c r="F15">
        <v>179.1002</v>
      </c>
      <c r="G15">
        <v>3.02</v>
      </c>
      <c r="H15">
        <v>0.56999999999999995</v>
      </c>
      <c r="I15">
        <v>3.59</v>
      </c>
      <c r="J15" s="1">
        <f t="shared" si="1"/>
        <v>0</v>
      </c>
      <c r="K15" s="2">
        <f t="shared" si="0"/>
        <v>0</v>
      </c>
      <c r="L15">
        <v>1.38</v>
      </c>
      <c r="M15" s="1">
        <f t="shared" si="2"/>
        <v>0</v>
      </c>
      <c r="N15" s="2">
        <f t="shared" si="3"/>
        <v>0</v>
      </c>
      <c r="O15">
        <v>3.05</v>
      </c>
      <c r="P15" s="1">
        <f t="shared" si="4"/>
        <v>0</v>
      </c>
      <c r="Q15" s="2">
        <f t="shared" si="5"/>
        <v>0</v>
      </c>
      <c r="R15" s="3">
        <f t="shared" si="6"/>
        <v>1.67</v>
      </c>
      <c r="S15" s="4">
        <f t="shared" si="7"/>
        <v>5.26</v>
      </c>
      <c r="T15" s="1">
        <f t="shared" si="8"/>
        <v>0</v>
      </c>
      <c r="U15" s="1">
        <f t="shared" si="9"/>
        <v>0</v>
      </c>
      <c r="V15" s="2">
        <f t="shared" si="10"/>
        <v>0</v>
      </c>
      <c r="W15" s="2">
        <f t="shared" si="11"/>
        <v>0</v>
      </c>
      <c r="X15">
        <v>1</v>
      </c>
    </row>
    <row r="16" spans="1:24">
      <c r="A16" t="s">
        <v>15</v>
      </c>
      <c r="B16">
        <v>1061257.25</v>
      </c>
      <c r="C16">
        <v>1935645.0833000001</v>
      </c>
      <c r="D16">
        <v>4469341818</v>
      </c>
      <c r="E16">
        <v>350.94709999999998</v>
      </c>
      <c r="F16">
        <v>192.41399999999999</v>
      </c>
      <c r="G16">
        <v>10.64</v>
      </c>
      <c r="H16">
        <v>0.93</v>
      </c>
      <c r="I16">
        <v>11.56</v>
      </c>
      <c r="J16" s="1">
        <f t="shared" si="1"/>
        <v>15</v>
      </c>
      <c r="K16" s="2">
        <f t="shared" si="0"/>
        <v>670401272.70000005</v>
      </c>
      <c r="L16">
        <v>7.5</v>
      </c>
      <c r="M16" s="1">
        <f t="shared" si="2"/>
        <v>5</v>
      </c>
      <c r="N16" s="2">
        <f t="shared" si="3"/>
        <v>223467090.90000001</v>
      </c>
      <c r="O16">
        <v>8.56</v>
      </c>
      <c r="P16" s="1">
        <f t="shared" si="4"/>
        <v>10</v>
      </c>
      <c r="Q16" s="2">
        <f t="shared" si="5"/>
        <v>446934181.80000001</v>
      </c>
      <c r="R16" s="3">
        <f t="shared" si="6"/>
        <v>1.0600000000000005</v>
      </c>
      <c r="S16" s="4">
        <f t="shared" si="7"/>
        <v>12.620000000000001</v>
      </c>
      <c r="T16" s="1">
        <f t="shared" si="8"/>
        <v>15</v>
      </c>
      <c r="U16" s="1">
        <f t="shared" si="9"/>
        <v>0</v>
      </c>
      <c r="V16" s="2">
        <f t="shared" si="10"/>
        <v>670401272.70000005</v>
      </c>
      <c r="W16" s="2">
        <f t="shared" si="11"/>
        <v>0</v>
      </c>
      <c r="X16">
        <v>1</v>
      </c>
    </row>
    <row r="17" spans="1:24">
      <c r="A17" t="s">
        <v>16</v>
      </c>
      <c r="B17">
        <v>291901.8333</v>
      </c>
      <c r="C17">
        <v>610689.16669999994</v>
      </c>
      <c r="D17">
        <v>1435952329</v>
      </c>
      <c r="E17">
        <v>409.94159999999999</v>
      </c>
      <c r="F17">
        <v>195.947</v>
      </c>
      <c r="G17">
        <v>7.42</v>
      </c>
      <c r="H17">
        <v>2.1</v>
      </c>
      <c r="I17">
        <v>9.52</v>
      </c>
      <c r="J17" s="1">
        <f t="shared" si="1"/>
        <v>10</v>
      </c>
      <c r="K17" s="2">
        <f t="shared" si="0"/>
        <v>143595232.90000001</v>
      </c>
      <c r="L17">
        <v>6.44</v>
      </c>
      <c r="M17" s="1">
        <f t="shared" si="2"/>
        <v>5</v>
      </c>
      <c r="N17" s="2">
        <f t="shared" si="3"/>
        <v>71797616.450000003</v>
      </c>
      <c r="O17">
        <v>7.83</v>
      </c>
      <c r="P17" s="1">
        <f t="shared" si="4"/>
        <v>5</v>
      </c>
      <c r="Q17" s="2">
        <f t="shared" si="5"/>
        <v>71797616.450000003</v>
      </c>
      <c r="R17" s="3">
        <f t="shared" si="6"/>
        <v>1.3899999999999997</v>
      </c>
      <c r="S17" s="4">
        <f t="shared" si="7"/>
        <v>10.91</v>
      </c>
      <c r="T17" s="1">
        <f t="shared" si="8"/>
        <v>15</v>
      </c>
      <c r="U17" s="1">
        <f t="shared" si="9"/>
        <v>5</v>
      </c>
      <c r="V17" s="2">
        <f t="shared" si="10"/>
        <v>215392849.34999999</v>
      </c>
      <c r="W17" s="2">
        <f t="shared" si="11"/>
        <v>71797616.449999988</v>
      </c>
      <c r="X17">
        <v>1</v>
      </c>
    </row>
    <row r="18" spans="1:24">
      <c r="A18" t="s">
        <v>17</v>
      </c>
      <c r="B18">
        <v>128519.5</v>
      </c>
      <c r="C18">
        <v>259322.8333</v>
      </c>
      <c r="D18">
        <v>528905499</v>
      </c>
      <c r="E18">
        <v>342.94760000000002</v>
      </c>
      <c r="F18">
        <v>169.96369999999999</v>
      </c>
      <c r="G18">
        <v>5.3</v>
      </c>
      <c r="H18">
        <v>0.84</v>
      </c>
      <c r="I18">
        <v>6.14</v>
      </c>
      <c r="J18" s="1">
        <f t="shared" si="1"/>
        <v>5</v>
      </c>
      <c r="K18" s="2">
        <f t="shared" si="0"/>
        <v>26445274.949999999</v>
      </c>
      <c r="L18">
        <v>4.04</v>
      </c>
      <c r="M18" s="1">
        <f t="shared" si="2"/>
        <v>0</v>
      </c>
      <c r="N18" s="2">
        <f t="shared" si="3"/>
        <v>0</v>
      </c>
      <c r="O18">
        <v>5.39</v>
      </c>
      <c r="P18" s="1">
        <f t="shared" si="4"/>
        <v>0</v>
      </c>
      <c r="Q18" s="2">
        <f t="shared" si="5"/>
        <v>0</v>
      </c>
      <c r="R18" s="3">
        <f t="shared" si="6"/>
        <v>1.3499999999999996</v>
      </c>
      <c r="S18" s="4">
        <f t="shared" si="7"/>
        <v>7.4899999999999993</v>
      </c>
      <c r="T18" s="1">
        <f t="shared" si="8"/>
        <v>5</v>
      </c>
      <c r="U18" s="1">
        <f t="shared" si="9"/>
        <v>0</v>
      </c>
      <c r="V18" s="2">
        <f t="shared" si="10"/>
        <v>26445274.949999999</v>
      </c>
      <c r="W18" s="2">
        <f t="shared" si="11"/>
        <v>0</v>
      </c>
      <c r="X18">
        <v>1</v>
      </c>
    </row>
    <row r="19" spans="1:24">
      <c r="A19" t="s">
        <v>18</v>
      </c>
      <c r="B19">
        <v>92483.5</v>
      </c>
      <c r="C19">
        <v>187042.5</v>
      </c>
      <c r="D19">
        <v>408410165</v>
      </c>
      <c r="E19">
        <v>368.0027</v>
      </c>
      <c r="F19">
        <v>181.95959999999999</v>
      </c>
      <c r="G19">
        <v>9.43</v>
      </c>
      <c r="H19">
        <v>0.55000000000000004</v>
      </c>
      <c r="I19">
        <v>9.98</v>
      </c>
      <c r="J19" s="1">
        <f t="shared" si="1"/>
        <v>10</v>
      </c>
      <c r="K19" s="2">
        <f t="shared" si="0"/>
        <v>40841016.5</v>
      </c>
      <c r="L19">
        <v>4.1900000000000004</v>
      </c>
      <c r="M19" s="1">
        <f t="shared" si="2"/>
        <v>0</v>
      </c>
      <c r="N19" s="2">
        <f t="shared" si="3"/>
        <v>0</v>
      </c>
      <c r="O19">
        <v>6.06</v>
      </c>
      <c r="P19" s="1">
        <f t="shared" si="4"/>
        <v>5</v>
      </c>
      <c r="Q19" s="2">
        <f t="shared" si="5"/>
        <v>20420508.25</v>
      </c>
      <c r="R19" s="3">
        <f t="shared" si="6"/>
        <v>1.8699999999999992</v>
      </c>
      <c r="S19" s="4">
        <f t="shared" si="7"/>
        <v>11.85</v>
      </c>
      <c r="T19" s="1">
        <f t="shared" si="8"/>
        <v>15</v>
      </c>
      <c r="U19" s="1">
        <f t="shared" si="9"/>
        <v>5</v>
      </c>
      <c r="V19" s="2">
        <f t="shared" si="10"/>
        <v>61261524.75</v>
      </c>
      <c r="W19" s="2">
        <f t="shared" si="11"/>
        <v>20420508.25</v>
      </c>
      <c r="X19">
        <v>1</v>
      </c>
    </row>
    <row r="20" spans="1:24">
      <c r="A20" t="s">
        <v>19</v>
      </c>
      <c r="B20">
        <v>278886.4167</v>
      </c>
      <c r="C20">
        <v>599909.83330000006</v>
      </c>
      <c r="D20">
        <v>1150201172</v>
      </c>
      <c r="E20">
        <v>343.68869999999998</v>
      </c>
      <c r="F20">
        <v>159.77420000000001</v>
      </c>
      <c r="G20">
        <v>8.23</v>
      </c>
      <c r="H20">
        <v>0.88</v>
      </c>
      <c r="I20">
        <v>9.11</v>
      </c>
      <c r="J20" s="1">
        <f t="shared" si="1"/>
        <v>10</v>
      </c>
      <c r="K20" s="2">
        <f t="shared" si="0"/>
        <v>115020117.2</v>
      </c>
      <c r="L20">
        <v>3.46</v>
      </c>
      <c r="M20" s="1">
        <f t="shared" si="2"/>
        <v>0</v>
      </c>
      <c r="N20" s="2">
        <f t="shared" si="3"/>
        <v>0</v>
      </c>
      <c r="O20">
        <v>4.67</v>
      </c>
      <c r="P20" s="1">
        <f t="shared" si="4"/>
        <v>0</v>
      </c>
      <c r="Q20" s="2">
        <f t="shared" si="5"/>
        <v>0</v>
      </c>
      <c r="R20" s="3">
        <f t="shared" si="6"/>
        <v>1.21</v>
      </c>
      <c r="S20" s="4">
        <f t="shared" si="7"/>
        <v>10.32</v>
      </c>
      <c r="T20" s="1">
        <f t="shared" si="8"/>
        <v>15</v>
      </c>
      <c r="U20" s="1">
        <f t="shared" si="9"/>
        <v>5</v>
      </c>
      <c r="V20" s="2">
        <f t="shared" si="10"/>
        <v>172530175.80000001</v>
      </c>
      <c r="W20" s="2">
        <f t="shared" si="11"/>
        <v>57510058.600000009</v>
      </c>
      <c r="X20">
        <v>1</v>
      </c>
    </row>
    <row r="21" spans="1:24">
      <c r="A21" t="s">
        <v>20</v>
      </c>
      <c r="B21">
        <v>417695.8333</v>
      </c>
      <c r="C21">
        <v>847132.5</v>
      </c>
      <c r="D21">
        <v>1902455806</v>
      </c>
      <c r="E21">
        <v>379.55369999999999</v>
      </c>
      <c r="F21">
        <v>187.14660000000001</v>
      </c>
      <c r="G21">
        <v>5.14</v>
      </c>
      <c r="H21">
        <v>1.48</v>
      </c>
      <c r="I21">
        <v>6.62</v>
      </c>
      <c r="J21" s="1">
        <f t="shared" si="1"/>
        <v>5</v>
      </c>
      <c r="K21" s="2">
        <f t="shared" si="0"/>
        <v>95122790.299999997</v>
      </c>
      <c r="L21">
        <v>4.5599999999999996</v>
      </c>
      <c r="M21" s="1">
        <f t="shared" si="2"/>
        <v>0</v>
      </c>
      <c r="N21" s="2">
        <f t="shared" si="3"/>
        <v>0</v>
      </c>
      <c r="O21">
        <v>6.43</v>
      </c>
      <c r="P21" s="1">
        <f t="shared" si="4"/>
        <v>5</v>
      </c>
      <c r="Q21" s="2">
        <f t="shared" si="5"/>
        <v>95122790.299999997</v>
      </c>
      <c r="R21" s="3">
        <f t="shared" si="6"/>
        <v>1.87</v>
      </c>
      <c r="S21" s="4">
        <f t="shared" si="7"/>
        <v>8.49</v>
      </c>
      <c r="T21" s="1">
        <f t="shared" si="8"/>
        <v>10</v>
      </c>
      <c r="U21" s="1">
        <f t="shared" si="9"/>
        <v>5</v>
      </c>
      <c r="V21" s="2">
        <f t="shared" si="10"/>
        <v>190245580.59999999</v>
      </c>
      <c r="W21" s="2">
        <f t="shared" si="11"/>
        <v>95122790.299999997</v>
      </c>
      <c r="X21">
        <v>1</v>
      </c>
    </row>
    <row r="22" spans="1:24">
      <c r="A22" t="s">
        <v>21</v>
      </c>
      <c r="B22">
        <v>101167.3333</v>
      </c>
      <c r="C22">
        <v>172232.0833</v>
      </c>
      <c r="D22">
        <v>363838898</v>
      </c>
      <c r="E22">
        <v>299.70060000000001</v>
      </c>
      <c r="F22">
        <v>176.041</v>
      </c>
      <c r="G22">
        <v>8.57</v>
      </c>
      <c r="H22">
        <v>1.68</v>
      </c>
      <c r="I22">
        <v>10.26</v>
      </c>
      <c r="J22" s="1">
        <f t="shared" si="1"/>
        <v>15</v>
      </c>
      <c r="K22" s="2">
        <f t="shared" si="0"/>
        <v>54575834.700000003</v>
      </c>
      <c r="L22">
        <v>8.6</v>
      </c>
      <c r="M22" s="1">
        <f t="shared" si="2"/>
        <v>10</v>
      </c>
      <c r="N22" s="2">
        <f t="shared" si="3"/>
        <v>36383889.799999997</v>
      </c>
      <c r="O22">
        <v>10.3</v>
      </c>
      <c r="P22" s="1">
        <f t="shared" si="4"/>
        <v>15</v>
      </c>
      <c r="Q22" s="2">
        <f t="shared" si="5"/>
        <v>54575834.700000003</v>
      </c>
      <c r="R22" s="3">
        <f t="shared" si="6"/>
        <v>1.7000000000000011</v>
      </c>
      <c r="S22" s="4">
        <f t="shared" si="7"/>
        <v>11.96</v>
      </c>
      <c r="T22" s="1">
        <f t="shared" si="8"/>
        <v>15</v>
      </c>
      <c r="U22" s="1">
        <f t="shared" si="9"/>
        <v>0</v>
      </c>
      <c r="V22" s="2">
        <f t="shared" si="10"/>
        <v>54575834.700000003</v>
      </c>
      <c r="W22" s="2">
        <f t="shared" si="11"/>
        <v>0</v>
      </c>
      <c r="X22">
        <v>1</v>
      </c>
    </row>
    <row r="23" spans="1:24">
      <c r="A23" t="s">
        <v>22</v>
      </c>
      <c r="B23">
        <v>381825.5</v>
      </c>
      <c r="C23">
        <v>694023.33330000006</v>
      </c>
      <c r="D23">
        <v>1498308252</v>
      </c>
      <c r="E23">
        <v>327.00549999999998</v>
      </c>
      <c r="F23">
        <v>179.90610000000001</v>
      </c>
      <c r="G23">
        <v>8.85</v>
      </c>
      <c r="H23">
        <v>4.79</v>
      </c>
      <c r="I23">
        <v>13.64</v>
      </c>
      <c r="J23" s="1">
        <f t="shared" si="1"/>
        <v>15</v>
      </c>
      <c r="K23" s="2">
        <f t="shared" si="0"/>
        <v>224746237.80000001</v>
      </c>
      <c r="L23">
        <v>11.4</v>
      </c>
      <c r="M23" s="1">
        <f t="shared" si="2"/>
        <v>15</v>
      </c>
      <c r="N23" s="2">
        <f t="shared" si="3"/>
        <v>224746237.80000001</v>
      </c>
      <c r="O23">
        <v>13.1</v>
      </c>
      <c r="P23" s="1">
        <f t="shared" si="4"/>
        <v>15</v>
      </c>
      <c r="Q23" s="2">
        <f t="shared" si="5"/>
        <v>224746237.80000001</v>
      </c>
      <c r="R23" s="3">
        <f t="shared" si="6"/>
        <v>1.6999999999999993</v>
      </c>
      <c r="S23" s="4">
        <f t="shared" si="7"/>
        <v>15.34</v>
      </c>
      <c r="T23" s="1">
        <f t="shared" si="8"/>
        <v>15</v>
      </c>
      <c r="U23" s="1">
        <f t="shared" si="9"/>
        <v>0</v>
      </c>
      <c r="V23" s="2">
        <f t="shared" si="10"/>
        <v>224746237.80000001</v>
      </c>
      <c r="W23" s="2">
        <f t="shared" si="11"/>
        <v>0</v>
      </c>
      <c r="X23">
        <v>1</v>
      </c>
    </row>
    <row r="24" spans="1:24">
      <c r="A24" t="s">
        <v>23</v>
      </c>
      <c r="B24">
        <v>678728.08330000006</v>
      </c>
      <c r="C24">
        <v>1113677.8333000001</v>
      </c>
      <c r="D24">
        <v>2617666701</v>
      </c>
      <c r="E24">
        <v>321.39359999999999</v>
      </c>
      <c r="F24">
        <v>195.8725</v>
      </c>
      <c r="G24">
        <v>13.03</v>
      </c>
      <c r="H24">
        <v>1.07</v>
      </c>
      <c r="I24">
        <v>14.1</v>
      </c>
      <c r="J24" s="1">
        <f t="shared" si="1"/>
        <v>15</v>
      </c>
      <c r="K24" s="2">
        <f t="shared" si="0"/>
        <v>392650005.14999998</v>
      </c>
      <c r="L24">
        <v>5.76</v>
      </c>
      <c r="M24" s="1">
        <f t="shared" si="2"/>
        <v>0</v>
      </c>
      <c r="N24" s="2">
        <f t="shared" si="3"/>
        <v>0</v>
      </c>
      <c r="O24">
        <v>7.47</v>
      </c>
      <c r="P24" s="1">
        <f t="shared" si="4"/>
        <v>5</v>
      </c>
      <c r="Q24" s="2">
        <f t="shared" si="5"/>
        <v>130883335.05</v>
      </c>
      <c r="R24" s="3">
        <f t="shared" si="6"/>
        <v>1.71</v>
      </c>
      <c r="S24" s="4">
        <f t="shared" si="7"/>
        <v>15.809999999999999</v>
      </c>
      <c r="T24" s="1">
        <f t="shared" si="8"/>
        <v>15</v>
      </c>
      <c r="U24" s="1">
        <f t="shared" si="9"/>
        <v>0</v>
      </c>
      <c r="V24" s="2">
        <f t="shared" si="10"/>
        <v>392650005.14999998</v>
      </c>
      <c r="W24" s="2">
        <f t="shared" si="11"/>
        <v>0</v>
      </c>
      <c r="X24">
        <v>1</v>
      </c>
    </row>
    <row r="25" spans="1:24">
      <c r="A25" t="s">
        <v>24</v>
      </c>
      <c r="B25">
        <v>785221.91669999994</v>
      </c>
      <c r="C25">
        <v>1474426.9166999999</v>
      </c>
      <c r="D25">
        <v>3061361572</v>
      </c>
      <c r="E25">
        <v>324.89350000000002</v>
      </c>
      <c r="F25">
        <v>173.02549999999999</v>
      </c>
      <c r="G25">
        <v>8.0299999999999994</v>
      </c>
      <c r="H25">
        <v>1.5</v>
      </c>
      <c r="I25">
        <v>9.5299999999999994</v>
      </c>
      <c r="J25" s="1">
        <f t="shared" si="1"/>
        <v>10</v>
      </c>
      <c r="K25" s="2">
        <f t="shared" si="0"/>
        <v>306136157.19999999</v>
      </c>
      <c r="L25">
        <v>9.6199999999999992</v>
      </c>
      <c r="M25" s="1">
        <f t="shared" si="2"/>
        <v>10</v>
      </c>
      <c r="N25" s="2">
        <f t="shared" si="3"/>
        <v>306136157.19999999</v>
      </c>
      <c r="O25">
        <v>11.7</v>
      </c>
      <c r="P25" s="1">
        <f t="shared" si="4"/>
        <v>15</v>
      </c>
      <c r="Q25" s="2">
        <f t="shared" si="5"/>
        <v>459204235.80000001</v>
      </c>
      <c r="R25" s="3">
        <f t="shared" si="6"/>
        <v>2.08</v>
      </c>
      <c r="S25" s="4">
        <f t="shared" si="7"/>
        <v>11.61</v>
      </c>
      <c r="T25" s="1">
        <f t="shared" si="8"/>
        <v>15</v>
      </c>
      <c r="U25" s="1">
        <f t="shared" si="9"/>
        <v>5</v>
      </c>
      <c r="V25" s="2">
        <f t="shared" si="10"/>
        <v>459204235.80000001</v>
      </c>
      <c r="W25" s="2">
        <f t="shared" si="11"/>
        <v>153068078.60000002</v>
      </c>
      <c r="X25">
        <v>1</v>
      </c>
    </row>
    <row r="26" spans="1:24">
      <c r="A26" t="s">
        <v>25</v>
      </c>
      <c r="B26">
        <v>234582.25</v>
      </c>
      <c r="C26">
        <v>453859.6667</v>
      </c>
      <c r="D26">
        <v>859038624</v>
      </c>
      <c r="E26">
        <v>305.16609999999997</v>
      </c>
      <c r="F26">
        <v>157.72839999999999</v>
      </c>
      <c r="G26">
        <v>6.32</v>
      </c>
      <c r="H26">
        <v>2.66</v>
      </c>
      <c r="I26">
        <v>8.98</v>
      </c>
      <c r="J26" s="1">
        <f t="shared" si="1"/>
        <v>10</v>
      </c>
      <c r="K26" s="2">
        <f t="shared" si="0"/>
        <v>85903862.400000006</v>
      </c>
      <c r="L26">
        <v>5.78</v>
      </c>
      <c r="M26" s="1">
        <f t="shared" si="2"/>
        <v>0</v>
      </c>
      <c r="N26" s="2">
        <f t="shared" si="3"/>
        <v>0</v>
      </c>
      <c r="O26">
        <v>7.71</v>
      </c>
      <c r="P26" s="1">
        <f t="shared" si="4"/>
        <v>5</v>
      </c>
      <c r="Q26" s="2">
        <f t="shared" si="5"/>
        <v>42951931.200000003</v>
      </c>
      <c r="R26" s="3">
        <f t="shared" si="6"/>
        <v>1.9299999999999997</v>
      </c>
      <c r="S26" s="4">
        <f t="shared" si="7"/>
        <v>10.91</v>
      </c>
      <c r="T26" s="1">
        <f t="shared" si="8"/>
        <v>15</v>
      </c>
      <c r="U26" s="1">
        <f t="shared" si="9"/>
        <v>5</v>
      </c>
      <c r="V26" s="2">
        <f t="shared" si="10"/>
        <v>128855793.59999999</v>
      </c>
      <c r="W26" s="2">
        <f t="shared" si="11"/>
        <v>42951931.199999988</v>
      </c>
      <c r="X26">
        <v>1</v>
      </c>
    </row>
    <row r="27" spans="1:24">
      <c r="A27" t="s">
        <v>26</v>
      </c>
      <c r="B27">
        <v>191549.0833</v>
      </c>
      <c r="C27">
        <v>384804.5</v>
      </c>
      <c r="D27">
        <v>842267063</v>
      </c>
      <c r="E27">
        <v>366.42790000000002</v>
      </c>
      <c r="F27">
        <v>182.4015</v>
      </c>
      <c r="G27">
        <v>8.93</v>
      </c>
      <c r="H27">
        <v>1.76</v>
      </c>
      <c r="I27">
        <v>10.69</v>
      </c>
      <c r="J27" s="1">
        <f t="shared" si="1"/>
        <v>15</v>
      </c>
      <c r="K27" s="2">
        <f t="shared" si="0"/>
        <v>126340059.45</v>
      </c>
      <c r="L27">
        <v>5.09</v>
      </c>
      <c r="M27" s="1">
        <f t="shared" si="2"/>
        <v>0</v>
      </c>
      <c r="N27" s="2">
        <f t="shared" si="3"/>
        <v>0</v>
      </c>
      <c r="O27">
        <v>7.12</v>
      </c>
      <c r="P27" s="1">
        <f t="shared" si="4"/>
        <v>5</v>
      </c>
      <c r="Q27" s="2">
        <f t="shared" si="5"/>
        <v>42113353.149999999</v>
      </c>
      <c r="R27" s="3">
        <f t="shared" si="6"/>
        <v>2.0300000000000002</v>
      </c>
      <c r="S27" s="4">
        <f t="shared" si="7"/>
        <v>12.719999999999999</v>
      </c>
      <c r="T27" s="1">
        <f t="shared" si="8"/>
        <v>15</v>
      </c>
      <c r="U27" s="1">
        <f t="shared" si="9"/>
        <v>0</v>
      </c>
      <c r="V27" s="2">
        <f t="shared" si="10"/>
        <v>126340059.45</v>
      </c>
      <c r="W27" s="2">
        <f t="shared" si="11"/>
        <v>0</v>
      </c>
      <c r="X27">
        <v>1</v>
      </c>
    </row>
    <row r="28" spans="1:24">
      <c r="A28" t="s">
        <v>27</v>
      </c>
      <c r="B28">
        <v>322674.5</v>
      </c>
      <c r="C28">
        <v>656117.83330000006</v>
      </c>
      <c r="D28">
        <v>1512570795</v>
      </c>
      <c r="E28">
        <v>390.63380000000001</v>
      </c>
      <c r="F28">
        <v>192.1112</v>
      </c>
      <c r="G28">
        <v>8.16</v>
      </c>
      <c r="H28">
        <v>1.26</v>
      </c>
      <c r="I28">
        <v>9.42</v>
      </c>
      <c r="J28" s="1">
        <f t="shared" si="1"/>
        <v>10</v>
      </c>
      <c r="K28" s="2">
        <f t="shared" si="0"/>
        <v>151257079.5</v>
      </c>
      <c r="L28">
        <v>3.76</v>
      </c>
      <c r="M28" s="1">
        <f t="shared" si="2"/>
        <v>0</v>
      </c>
      <c r="N28" s="2">
        <f t="shared" si="3"/>
        <v>0</v>
      </c>
      <c r="O28">
        <v>5.5</v>
      </c>
      <c r="P28" s="1">
        <f t="shared" si="4"/>
        <v>0</v>
      </c>
      <c r="Q28" s="2">
        <f t="shared" si="5"/>
        <v>0</v>
      </c>
      <c r="R28" s="3">
        <f t="shared" si="6"/>
        <v>1.7400000000000002</v>
      </c>
      <c r="S28" s="4">
        <f t="shared" si="7"/>
        <v>11.16</v>
      </c>
      <c r="T28" s="1">
        <f t="shared" si="8"/>
        <v>15</v>
      </c>
      <c r="U28" s="1">
        <f t="shared" si="9"/>
        <v>5</v>
      </c>
      <c r="V28" s="2">
        <f t="shared" si="10"/>
        <v>226885619.25</v>
      </c>
      <c r="W28" s="2">
        <f t="shared" si="11"/>
        <v>75628539.75</v>
      </c>
      <c r="X28">
        <v>1</v>
      </c>
    </row>
    <row r="29" spans="1:24">
      <c r="A29" t="s">
        <v>28</v>
      </c>
      <c r="B29">
        <v>41637.166700000002</v>
      </c>
      <c r="C29">
        <v>81494.833299999998</v>
      </c>
      <c r="D29">
        <v>169446871</v>
      </c>
      <c r="E29">
        <v>339.13380000000001</v>
      </c>
      <c r="F29">
        <v>173.26949999999999</v>
      </c>
      <c r="G29">
        <v>6.47</v>
      </c>
      <c r="H29">
        <v>2.41</v>
      </c>
      <c r="I29">
        <v>8.89</v>
      </c>
      <c r="J29" s="1">
        <f t="shared" si="1"/>
        <v>10</v>
      </c>
      <c r="K29" s="2">
        <f t="shared" si="0"/>
        <v>16944687.100000001</v>
      </c>
      <c r="L29">
        <v>4.3099999999999996</v>
      </c>
      <c r="M29" s="1">
        <f t="shared" si="2"/>
        <v>0</v>
      </c>
      <c r="N29" s="2">
        <f t="shared" si="3"/>
        <v>0</v>
      </c>
      <c r="O29">
        <v>6.04</v>
      </c>
      <c r="P29" s="1">
        <f t="shared" si="4"/>
        <v>5</v>
      </c>
      <c r="Q29" s="2">
        <f t="shared" si="5"/>
        <v>8472343.5500000007</v>
      </c>
      <c r="R29" s="3">
        <f t="shared" si="6"/>
        <v>1.7300000000000004</v>
      </c>
      <c r="S29" s="4">
        <f t="shared" si="7"/>
        <v>10.620000000000001</v>
      </c>
      <c r="T29" s="1">
        <f t="shared" si="8"/>
        <v>15</v>
      </c>
      <c r="U29" s="1">
        <f t="shared" si="9"/>
        <v>5</v>
      </c>
      <c r="V29" s="2">
        <f t="shared" si="10"/>
        <v>25417030.649999999</v>
      </c>
      <c r="W29" s="2">
        <f t="shared" si="11"/>
        <v>8472343.549999997</v>
      </c>
      <c r="X29">
        <v>1</v>
      </c>
    </row>
    <row r="30" spans="1:24">
      <c r="A30" t="s">
        <v>29</v>
      </c>
      <c r="B30">
        <v>76443</v>
      </c>
      <c r="C30">
        <v>155034.4167</v>
      </c>
      <c r="D30">
        <v>331710249</v>
      </c>
      <c r="E30">
        <v>361.6096</v>
      </c>
      <c r="F30">
        <v>178.29929999999999</v>
      </c>
      <c r="G30">
        <v>4.6399999999999997</v>
      </c>
      <c r="H30">
        <v>0.86</v>
      </c>
      <c r="I30">
        <v>5.5</v>
      </c>
      <c r="J30" s="1">
        <f t="shared" si="1"/>
        <v>0</v>
      </c>
      <c r="K30" s="2">
        <f t="shared" si="0"/>
        <v>0</v>
      </c>
      <c r="L30">
        <v>3.43</v>
      </c>
      <c r="M30" s="1">
        <f t="shared" si="2"/>
        <v>0</v>
      </c>
      <c r="N30" s="2">
        <f t="shared" si="3"/>
        <v>0</v>
      </c>
      <c r="O30">
        <v>4.9800000000000004</v>
      </c>
      <c r="P30" s="1">
        <f t="shared" si="4"/>
        <v>0</v>
      </c>
      <c r="Q30" s="2">
        <f t="shared" si="5"/>
        <v>0</v>
      </c>
      <c r="R30" s="3">
        <f t="shared" si="6"/>
        <v>1.5500000000000003</v>
      </c>
      <c r="S30" s="4">
        <f t="shared" si="7"/>
        <v>7.0500000000000007</v>
      </c>
      <c r="T30" s="1">
        <f t="shared" si="8"/>
        <v>5</v>
      </c>
      <c r="U30" s="1">
        <f t="shared" si="9"/>
        <v>5</v>
      </c>
      <c r="V30" s="2">
        <f t="shared" si="10"/>
        <v>16585512.449999999</v>
      </c>
      <c r="W30" s="2">
        <f t="shared" si="11"/>
        <v>16585512.449999999</v>
      </c>
      <c r="X30">
        <v>1</v>
      </c>
    </row>
    <row r="31" spans="1:24">
      <c r="A31" t="s">
        <v>30</v>
      </c>
      <c r="B31">
        <v>269676</v>
      </c>
      <c r="C31">
        <v>505461.5</v>
      </c>
      <c r="D31">
        <v>1006600692</v>
      </c>
      <c r="E31">
        <v>311.05250000000001</v>
      </c>
      <c r="F31">
        <v>165.95410000000001</v>
      </c>
      <c r="G31">
        <v>5.63</v>
      </c>
      <c r="H31">
        <v>0.32</v>
      </c>
      <c r="I31">
        <v>5.94</v>
      </c>
      <c r="J31" s="1">
        <f t="shared" si="1"/>
        <v>0</v>
      </c>
      <c r="K31" s="2">
        <f t="shared" si="0"/>
        <v>0</v>
      </c>
      <c r="L31">
        <v>4.37</v>
      </c>
      <c r="M31" s="1">
        <f t="shared" si="2"/>
        <v>0</v>
      </c>
      <c r="N31" s="2">
        <f t="shared" si="3"/>
        <v>0</v>
      </c>
      <c r="O31">
        <v>6.4</v>
      </c>
      <c r="P31" s="1">
        <f t="shared" si="4"/>
        <v>5</v>
      </c>
      <c r="Q31" s="2">
        <f t="shared" si="5"/>
        <v>50330034.600000001</v>
      </c>
      <c r="R31" s="3">
        <f t="shared" si="6"/>
        <v>2.0300000000000002</v>
      </c>
      <c r="S31" s="4">
        <f t="shared" si="7"/>
        <v>7.9700000000000006</v>
      </c>
      <c r="T31" s="1">
        <f t="shared" si="8"/>
        <v>5</v>
      </c>
      <c r="U31" s="1">
        <f t="shared" si="9"/>
        <v>5</v>
      </c>
      <c r="V31" s="2">
        <f t="shared" si="10"/>
        <v>50330034.600000001</v>
      </c>
      <c r="W31" s="2">
        <f t="shared" si="11"/>
        <v>50330034.600000001</v>
      </c>
      <c r="X31">
        <v>1</v>
      </c>
    </row>
    <row r="32" spans="1:24">
      <c r="A32" t="s">
        <v>31</v>
      </c>
      <c r="B32">
        <v>42354.916700000002</v>
      </c>
      <c r="C32">
        <v>76908.583299999998</v>
      </c>
      <c r="D32">
        <v>154254645</v>
      </c>
      <c r="E32">
        <v>303.49610000000001</v>
      </c>
      <c r="F32">
        <v>167.14070000000001</v>
      </c>
      <c r="G32">
        <v>4.5199999999999996</v>
      </c>
      <c r="H32">
        <v>3.05</v>
      </c>
      <c r="I32">
        <v>7.57</v>
      </c>
      <c r="J32" s="1">
        <f t="shared" si="1"/>
        <v>5</v>
      </c>
      <c r="K32" s="2">
        <f t="shared" si="0"/>
        <v>7712732.25</v>
      </c>
      <c r="L32">
        <v>5.42</v>
      </c>
      <c r="M32" s="1">
        <f t="shared" si="2"/>
        <v>0</v>
      </c>
      <c r="N32" s="2">
        <f t="shared" si="3"/>
        <v>0</v>
      </c>
      <c r="O32">
        <v>7.27</v>
      </c>
      <c r="P32" s="1">
        <f t="shared" si="4"/>
        <v>5</v>
      </c>
      <c r="Q32" s="2">
        <f t="shared" si="5"/>
        <v>7712732.25</v>
      </c>
      <c r="R32" s="3">
        <f t="shared" si="6"/>
        <v>1.8499999999999996</v>
      </c>
      <c r="S32" s="4">
        <f t="shared" si="7"/>
        <v>9.42</v>
      </c>
      <c r="T32" s="1">
        <f t="shared" si="8"/>
        <v>10</v>
      </c>
      <c r="U32" s="1">
        <f t="shared" si="9"/>
        <v>5</v>
      </c>
      <c r="V32" s="2">
        <f t="shared" si="10"/>
        <v>15425464.5</v>
      </c>
      <c r="W32" s="2">
        <f t="shared" si="11"/>
        <v>7712732.25</v>
      </c>
      <c r="X32">
        <v>1</v>
      </c>
    </row>
    <row r="33" spans="1:24">
      <c r="A33" t="s">
        <v>32</v>
      </c>
      <c r="B33">
        <v>434596.25</v>
      </c>
      <c r="C33">
        <v>827227.08330000006</v>
      </c>
      <c r="D33">
        <v>1925707853</v>
      </c>
      <c r="E33">
        <v>369.25229999999999</v>
      </c>
      <c r="F33">
        <v>193.9923</v>
      </c>
      <c r="G33">
        <v>12.11</v>
      </c>
      <c r="H33">
        <v>2.2200000000000002</v>
      </c>
      <c r="I33">
        <v>14.33</v>
      </c>
      <c r="J33" s="1">
        <f t="shared" si="1"/>
        <v>15</v>
      </c>
      <c r="K33" s="2">
        <f t="shared" si="0"/>
        <v>288856177.94999999</v>
      </c>
      <c r="L33">
        <v>4.21</v>
      </c>
      <c r="M33" s="1">
        <f t="shared" si="2"/>
        <v>0</v>
      </c>
      <c r="N33" s="2">
        <f t="shared" si="3"/>
        <v>0</v>
      </c>
      <c r="O33">
        <v>5.43</v>
      </c>
      <c r="P33" s="1">
        <f t="shared" si="4"/>
        <v>0</v>
      </c>
      <c r="Q33" s="2">
        <f t="shared" si="5"/>
        <v>0</v>
      </c>
      <c r="R33" s="3">
        <f t="shared" si="6"/>
        <v>1.2199999999999998</v>
      </c>
      <c r="S33" s="4">
        <f t="shared" si="7"/>
        <v>15.55</v>
      </c>
      <c r="T33" s="1">
        <f t="shared" si="8"/>
        <v>15</v>
      </c>
      <c r="U33" s="1">
        <f t="shared" si="9"/>
        <v>0</v>
      </c>
      <c r="V33" s="2">
        <f t="shared" si="10"/>
        <v>288856177.94999999</v>
      </c>
      <c r="W33" s="2">
        <f t="shared" si="11"/>
        <v>0</v>
      </c>
      <c r="X33">
        <v>1</v>
      </c>
    </row>
    <row r="34" spans="1:24">
      <c r="A34" t="s">
        <v>33</v>
      </c>
      <c r="B34">
        <v>241715.0833</v>
      </c>
      <c r="C34">
        <v>451320.0833</v>
      </c>
      <c r="D34">
        <v>1028090754</v>
      </c>
      <c r="E34">
        <v>354.44299999999998</v>
      </c>
      <c r="F34">
        <v>189.83029999999999</v>
      </c>
      <c r="G34">
        <v>13.07</v>
      </c>
      <c r="H34">
        <v>1.54</v>
      </c>
      <c r="I34">
        <v>14.61</v>
      </c>
      <c r="J34" s="1">
        <f t="shared" si="1"/>
        <v>15</v>
      </c>
      <c r="K34" s="2">
        <f t="shared" ref="K34:K54" si="12">D34*J34/100</f>
        <v>154213613.09999999</v>
      </c>
      <c r="L34">
        <v>7.36</v>
      </c>
      <c r="M34" s="1">
        <f t="shared" si="2"/>
        <v>5</v>
      </c>
      <c r="N34" s="2">
        <f t="shared" si="3"/>
        <v>51404537.700000003</v>
      </c>
      <c r="O34">
        <v>9.1300000000000008</v>
      </c>
      <c r="P34" s="1">
        <f t="shared" si="4"/>
        <v>10</v>
      </c>
      <c r="Q34" s="2">
        <f t="shared" si="5"/>
        <v>102809075.40000001</v>
      </c>
      <c r="R34" s="3">
        <f t="shared" si="6"/>
        <v>1.7700000000000005</v>
      </c>
      <c r="S34" s="4">
        <f t="shared" si="7"/>
        <v>16.38</v>
      </c>
      <c r="T34" s="1">
        <f t="shared" si="8"/>
        <v>15</v>
      </c>
      <c r="U34" s="1">
        <f t="shared" si="9"/>
        <v>0</v>
      </c>
      <c r="V34" s="2">
        <f t="shared" si="10"/>
        <v>154213613.09999999</v>
      </c>
      <c r="W34" s="2">
        <f t="shared" si="11"/>
        <v>0</v>
      </c>
      <c r="X34">
        <v>1</v>
      </c>
    </row>
    <row r="35" spans="1:24">
      <c r="A35" t="s">
        <v>34</v>
      </c>
      <c r="B35">
        <v>1707770.5</v>
      </c>
      <c r="C35">
        <v>2926213.3333000001</v>
      </c>
      <c r="D35">
        <v>7231611169</v>
      </c>
      <c r="E35">
        <v>352.87779999999998</v>
      </c>
      <c r="F35">
        <v>205.9434</v>
      </c>
      <c r="G35">
        <v>12.65</v>
      </c>
      <c r="H35">
        <v>1.44</v>
      </c>
      <c r="I35">
        <v>14.09</v>
      </c>
      <c r="J35" s="1">
        <f t="shared" si="1"/>
        <v>15</v>
      </c>
      <c r="K35" s="2">
        <f t="shared" si="12"/>
        <v>1084741675.3499999</v>
      </c>
      <c r="L35">
        <v>5.75</v>
      </c>
      <c r="M35" s="1">
        <f t="shared" si="2"/>
        <v>0</v>
      </c>
      <c r="N35" s="2">
        <f t="shared" si="3"/>
        <v>0</v>
      </c>
      <c r="O35">
        <v>7.24</v>
      </c>
      <c r="P35" s="1">
        <f t="shared" si="4"/>
        <v>5</v>
      </c>
      <c r="Q35" s="2">
        <f t="shared" si="5"/>
        <v>361580558.44999999</v>
      </c>
      <c r="R35" s="3">
        <f t="shared" si="6"/>
        <v>1.4900000000000002</v>
      </c>
      <c r="S35" s="4">
        <f t="shared" si="7"/>
        <v>15.58</v>
      </c>
      <c r="T35" s="1">
        <f t="shared" si="8"/>
        <v>15</v>
      </c>
      <c r="U35" s="1">
        <f t="shared" si="9"/>
        <v>0</v>
      </c>
      <c r="V35" s="2">
        <f t="shared" si="10"/>
        <v>1084741675.3499999</v>
      </c>
      <c r="W35" s="2">
        <f t="shared" si="11"/>
        <v>0</v>
      </c>
      <c r="X35">
        <v>1</v>
      </c>
    </row>
    <row r="36" spans="1:24">
      <c r="A36" t="s">
        <v>35</v>
      </c>
      <c r="B36">
        <v>705966.75</v>
      </c>
      <c r="C36">
        <v>1415606.75</v>
      </c>
      <c r="D36">
        <v>2934626410</v>
      </c>
      <c r="E36">
        <v>346.40750000000003</v>
      </c>
      <c r="F36">
        <v>172.7543</v>
      </c>
      <c r="G36">
        <v>8.11</v>
      </c>
      <c r="H36">
        <v>2.1</v>
      </c>
      <c r="I36">
        <v>10.210000000000001</v>
      </c>
      <c r="J36" s="1">
        <f t="shared" si="1"/>
        <v>15</v>
      </c>
      <c r="K36" s="2">
        <f t="shared" si="12"/>
        <v>440193961.5</v>
      </c>
      <c r="L36">
        <v>6.55</v>
      </c>
      <c r="M36" s="1">
        <f t="shared" si="2"/>
        <v>5</v>
      </c>
      <c r="N36" s="2">
        <f t="shared" si="3"/>
        <v>146731320.5</v>
      </c>
      <c r="O36">
        <v>8.14</v>
      </c>
      <c r="P36" s="1">
        <f t="shared" si="4"/>
        <v>10</v>
      </c>
      <c r="Q36" s="2">
        <f t="shared" si="5"/>
        <v>293462641</v>
      </c>
      <c r="R36" s="3">
        <f t="shared" si="6"/>
        <v>1.5900000000000007</v>
      </c>
      <c r="S36" s="4">
        <f t="shared" si="7"/>
        <v>11.8</v>
      </c>
      <c r="T36" s="1">
        <f t="shared" si="8"/>
        <v>15</v>
      </c>
      <c r="U36" s="1">
        <f t="shared" si="9"/>
        <v>0</v>
      </c>
      <c r="V36" s="2">
        <f t="shared" si="10"/>
        <v>440193961.5</v>
      </c>
      <c r="W36" s="2">
        <f t="shared" si="11"/>
        <v>0</v>
      </c>
      <c r="X36">
        <v>1</v>
      </c>
    </row>
    <row r="37" spans="1:24">
      <c r="A37" t="s">
        <v>36</v>
      </c>
      <c r="B37">
        <v>24784.916700000002</v>
      </c>
      <c r="C37">
        <v>48693.75</v>
      </c>
      <c r="D37">
        <v>111448901</v>
      </c>
      <c r="E37">
        <v>374.72019999999998</v>
      </c>
      <c r="F37">
        <v>190.73099999999999</v>
      </c>
      <c r="G37">
        <v>5.72</v>
      </c>
      <c r="H37">
        <v>2.19</v>
      </c>
      <c r="I37">
        <v>7.91</v>
      </c>
      <c r="J37" s="1">
        <f t="shared" si="1"/>
        <v>5</v>
      </c>
      <c r="K37" s="2">
        <f t="shared" si="12"/>
        <v>5572445.0499999998</v>
      </c>
      <c r="L37">
        <v>4.67</v>
      </c>
      <c r="M37" s="1">
        <f t="shared" si="2"/>
        <v>0</v>
      </c>
      <c r="N37" s="2">
        <f t="shared" si="3"/>
        <v>0</v>
      </c>
      <c r="O37">
        <v>6.67</v>
      </c>
      <c r="P37" s="1">
        <f t="shared" si="4"/>
        <v>5</v>
      </c>
      <c r="Q37" s="2">
        <f t="shared" si="5"/>
        <v>5572445.0499999998</v>
      </c>
      <c r="R37" s="3">
        <f t="shared" si="6"/>
        <v>2</v>
      </c>
      <c r="S37" s="4">
        <f t="shared" si="7"/>
        <v>9.91</v>
      </c>
      <c r="T37" s="1">
        <f t="shared" si="8"/>
        <v>10</v>
      </c>
      <c r="U37" s="1">
        <f t="shared" si="9"/>
        <v>5</v>
      </c>
      <c r="V37" s="2">
        <f t="shared" si="10"/>
        <v>11144890.1</v>
      </c>
      <c r="W37" s="2">
        <f t="shared" si="11"/>
        <v>5572445.0499999998</v>
      </c>
      <c r="X37">
        <v>1</v>
      </c>
    </row>
    <row r="38" spans="1:24">
      <c r="A38" t="s">
        <v>37</v>
      </c>
      <c r="B38">
        <v>715596.66669999994</v>
      </c>
      <c r="C38">
        <v>1386865.1666999999</v>
      </c>
      <c r="D38">
        <v>3186433783</v>
      </c>
      <c r="E38">
        <v>371.06959999999998</v>
      </c>
      <c r="F38">
        <v>191.465</v>
      </c>
      <c r="G38">
        <v>7.67</v>
      </c>
      <c r="H38">
        <v>1.34</v>
      </c>
      <c r="I38">
        <v>9.01</v>
      </c>
      <c r="J38" s="1">
        <f t="shared" si="1"/>
        <v>10</v>
      </c>
      <c r="K38" s="2">
        <f t="shared" si="12"/>
        <v>318643378.30000001</v>
      </c>
      <c r="L38">
        <v>4.51</v>
      </c>
      <c r="M38" s="1">
        <f t="shared" si="2"/>
        <v>0</v>
      </c>
      <c r="N38" s="2">
        <f t="shared" si="3"/>
        <v>0</v>
      </c>
      <c r="O38">
        <v>5.98</v>
      </c>
      <c r="P38" s="1">
        <f t="shared" si="4"/>
        <v>0</v>
      </c>
      <c r="Q38" s="2">
        <f t="shared" si="5"/>
        <v>0</v>
      </c>
      <c r="R38" s="3">
        <f t="shared" si="6"/>
        <v>1.4700000000000006</v>
      </c>
      <c r="S38" s="4">
        <f t="shared" si="7"/>
        <v>10.48</v>
      </c>
      <c r="T38" s="1">
        <f t="shared" si="8"/>
        <v>15</v>
      </c>
      <c r="U38" s="1">
        <f t="shared" si="9"/>
        <v>5</v>
      </c>
      <c r="V38" s="2">
        <f t="shared" si="10"/>
        <v>477965067.44999999</v>
      </c>
      <c r="W38" s="2">
        <f t="shared" si="11"/>
        <v>159321689.14999998</v>
      </c>
      <c r="X38">
        <v>1</v>
      </c>
    </row>
    <row r="39" spans="1:24">
      <c r="A39" t="s">
        <v>38</v>
      </c>
      <c r="B39">
        <v>334471.1667</v>
      </c>
      <c r="C39">
        <v>686807.75</v>
      </c>
      <c r="D39">
        <v>1506326652</v>
      </c>
      <c r="E39">
        <v>375.30059999999997</v>
      </c>
      <c r="F39">
        <v>182.76910000000001</v>
      </c>
      <c r="G39">
        <v>9.6300000000000008</v>
      </c>
      <c r="H39">
        <v>1.25</v>
      </c>
      <c r="I39">
        <v>10.87</v>
      </c>
      <c r="J39" s="1">
        <f t="shared" si="1"/>
        <v>15</v>
      </c>
      <c r="K39" s="2">
        <f t="shared" si="12"/>
        <v>225948997.80000001</v>
      </c>
      <c r="L39">
        <v>6.91</v>
      </c>
      <c r="M39" s="1">
        <f t="shared" si="2"/>
        <v>5</v>
      </c>
      <c r="N39" s="2">
        <f t="shared" si="3"/>
        <v>75316332.599999994</v>
      </c>
      <c r="O39">
        <v>8.68</v>
      </c>
      <c r="P39" s="1">
        <f t="shared" si="4"/>
        <v>10</v>
      </c>
      <c r="Q39" s="2">
        <f t="shared" si="5"/>
        <v>150632665.19999999</v>
      </c>
      <c r="R39" s="3">
        <f t="shared" si="6"/>
        <v>1.7699999999999996</v>
      </c>
      <c r="S39" s="4">
        <f t="shared" si="7"/>
        <v>12.639999999999999</v>
      </c>
      <c r="T39" s="1">
        <f t="shared" si="8"/>
        <v>15</v>
      </c>
      <c r="U39" s="1">
        <f t="shared" si="9"/>
        <v>0</v>
      </c>
      <c r="V39" s="2">
        <f t="shared" si="10"/>
        <v>225948997.80000001</v>
      </c>
      <c r="W39" s="2">
        <f t="shared" si="11"/>
        <v>0</v>
      </c>
      <c r="X39">
        <v>1</v>
      </c>
    </row>
    <row r="40" spans="1:24">
      <c r="A40" t="s">
        <v>39</v>
      </c>
      <c r="B40">
        <v>435626.5</v>
      </c>
      <c r="C40">
        <v>757743.83330000006</v>
      </c>
      <c r="D40">
        <v>1596585242</v>
      </c>
      <c r="E40">
        <v>305.4194</v>
      </c>
      <c r="F40">
        <v>175.58539999999999</v>
      </c>
      <c r="G40">
        <v>12.66</v>
      </c>
      <c r="H40">
        <v>1.4</v>
      </c>
      <c r="I40">
        <v>14.06</v>
      </c>
      <c r="J40" s="1">
        <f t="shared" si="1"/>
        <v>15</v>
      </c>
      <c r="K40" s="2">
        <f t="shared" si="12"/>
        <v>239487786.30000001</v>
      </c>
      <c r="L40">
        <v>11</v>
      </c>
      <c r="M40" s="1">
        <f t="shared" si="2"/>
        <v>15</v>
      </c>
      <c r="N40" s="2">
        <f t="shared" si="3"/>
        <v>239487786.30000001</v>
      </c>
      <c r="O40">
        <v>12.9</v>
      </c>
      <c r="P40" s="1">
        <f t="shared" si="4"/>
        <v>15</v>
      </c>
      <c r="Q40" s="2">
        <f t="shared" si="5"/>
        <v>239487786.30000001</v>
      </c>
      <c r="R40" s="3">
        <f t="shared" si="6"/>
        <v>1.9000000000000004</v>
      </c>
      <c r="S40" s="4">
        <f t="shared" si="7"/>
        <v>15.96</v>
      </c>
      <c r="T40" s="1">
        <f t="shared" si="8"/>
        <v>15</v>
      </c>
      <c r="U40" s="1">
        <f t="shared" si="9"/>
        <v>0</v>
      </c>
      <c r="V40" s="2">
        <f t="shared" si="10"/>
        <v>239487786.30000001</v>
      </c>
      <c r="W40" s="2">
        <f t="shared" si="11"/>
        <v>0</v>
      </c>
      <c r="X40">
        <v>1</v>
      </c>
    </row>
    <row r="41" spans="1:24">
      <c r="A41" t="s">
        <v>40</v>
      </c>
      <c r="B41">
        <v>1079939.3333000001</v>
      </c>
      <c r="C41">
        <v>2000018</v>
      </c>
      <c r="D41">
        <v>4268035433</v>
      </c>
      <c r="E41">
        <v>329.34219999999999</v>
      </c>
      <c r="F41">
        <v>177.83320000000001</v>
      </c>
      <c r="G41">
        <v>9.49</v>
      </c>
      <c r="H41">
        <v>1.27</v>
      </c>
      <c r="I41">
        <v>10.76</v>
      </c>
      <c r="J41" s="1">
        <f t="shared" si="1"/>
        <v>15</v>
      </c>
      <c r="K41" s="2">
        <f t="shared" si="12"/>
        <v>640205314.95000005</v>
      </c>
      <c r="L41">
        <v>6.55</v>
      </c>
      <c r="M41" s="1">
        <f t="shared" si="2"/>
        <v>5</v>
      </c>
      <c r="N41" s="2">
        <f t="shared" si="3"/>
        <v>213401771.65000001</v>
      </c>
      <c r="O41">
        <v>8.7200000000000006</v>
      </c>
      <c r="P41" s="1">
        <f t="shared" si="4"/>
        <v>10</v>
      </c>
      <c r="Q41" s="2">
        <f t="shared" si="5"/>
        <v>426803543.30000001</v>
      </c>
      <c r="R41" s="3">
        <f t="shared" si="6"/>
        <v>2.1700000000000008</v>
      </c>
      <c r="S41" s="4">
        <f t="shared" si="7"/>
        <v>12.93</v>
      </c>
      <c r="T41" s="1">
        <f t="shared" si="8"/>
        <v>15</v>
      </c>
      <c r="U41" s="1">
        <f t="shared" si="9"/>
        <v>0</v>
      </c>
      <c r="V41" s="2">
        <f t="shared" si="10"/>
        <v>640205314.95000005</v>
      </c>
      <c r="W41" s="2">
        <f t="shared" si="11"/>
        <v>0</v>
      </c>
      <c r="X41">
        <v>1</v>
      </c>
    </row>
    <row r="42" spans="1:24">
      <c r="A42" t="s">
        <v>41</v>
      </c>
      <c r="B42">
        <v>90049.083299999998</v>
      </c>
      <c r="C42">
        <v>144270.5</v>
      </c>
      <c r="D42">
        <v>343066538</v>
      </c>
      <c r="E42">
        <v>317.48110000000003</v>
      </c>
      <c r="F42">
        <v>198.16159999999999</v>
      </c>
      <c r="G42">
        <v>10.61</v>
      </c>
      <c r="H42">
        <v>1.68</v>
      </c>
      <c r="I42">
        <v>12.29</v>
      </c>
      <c r="J42" s="1">
        <f t="shared" si="1"/>
        <v>15</v>
      </c>
      <c r="K42" s="2">
        <f t="shared" si="12"/>
        <v>51459980.700000003</v>
      </c>
      <c r="L42">
        <v>10.5</v>
      </c>
      <c r="M42" s="1">
        <f t="shared" si="2"/>
        <v>15</v>
      </c>
      <c r="N42" s="2">
        <f t="shared" si="3"/>
        <v>51459980.700000003</v>
      </c>
      <c r="O42">
        <v>12.2</v>
      </c>
      <c r="P42" s="1">
        <f t="shared" si="4"/>
        <v>15</v>
      </c>
      <c r="Q42" s="2">
        <f t="shared" si="5"/>
        <v>51459980.700000003</v>
      </c>
      <c r="R42" s="3">
        <f t="shared" si="6"/>
        <v>1.6999999999999993</v>
      </c>
      <c r="S42" s="4">
        <f t="shared" si="7"/>
        <v>13.989999999999998</v>
      </c>
      <c r="T42" s="1">
        <f t="shared" si="8"/>
        <v>15</v>
      </c>
      <c r="U42" s="1">
        <f t="shared" si="9"/>
        <v>0</v>
      </c>
      <c r="V42" s="2">
        <f t="shared" si="10"/>
        <v>51459980.700000003</v>
      </c>
      <c r="W42" s="2">
        <f t="shared" si="11"/>
        <v>0</v>
      </c>
      <c r="X42">
        <v>1</v>
      </c>
    </row>
    <row r="43" spans="1:24">
      <c r="A43" t="s">
        <v>42</v>
      </c>
      <c r="B43">
        <v>277237.25</v>
      </c>
      <c r="C43">
        <v>581592.91669999994</v>
      </c>
      <c r="D43">
        <v>1293584986</v>
      </c>
      <c r="E43">
        <v>388.83210000000003</v>
      </c>
      <c r="F43">
        <v>185.3509</v>
      </c>
      <c r="G43">
        <v>7.89</v>
      </c>
      <c r="H43">
        <v>1.36</v>
      </c>
      <c r="I43">
        <v>9.25</v>
      </c>
      <c r="J43" s="1">
        <f t="shared" si="1"/>
        <v>10</v>
      </c>
      <c r="K43" s="2">
        <f t="shared" si="12"/>
        <v>129358498.59999999</v>
      </c>
      <c r="L43">
        <v>6.62</v>
      </c>
      <c r="M43" s="1">
        <f t="shared" si="2"/>
        <v>5</v>
      </c>
      <c r="N43" s="2">
        <f t="shared" si="3"/>
        <v>64679249.299999997</v>
      </c>
      <c r="O43">
        <v>8</v>
      </c>
      <c r="P43" s="1">
        <f t="shared" si="4"/>
        <v>10</v>
      </c>
      <c r="Q43" s="2">
        <f t="shared" si="5"/>
        <v>129358498.59999999</v>
      </c>
      <c r="R43" s="3">
        <f t="shared" si="6"/>
        <v>1.38</v>
      </c>
      <c r="S43" s="4">
        <f t="shared" si="7"/>
        <v>10.629999999999999</v>
      </c>
      <c r="T43" s="1">
        <f t="shared" si="8"/>
        <v>15</v>
      </c>
      <c r="U43" s="1">
        <f t="shared" si="9"/>
        <v>5</v>
      </c>
      <c r="V43" s="2">
        <f t="shared" si="10"/>
        <v>194037747.90000001</v>
      </c>
      <c r="W43" s="2">
        <f t="shared" si="11"/>
        <v>64679249.300000012</v>
      </c>
      <c r="X43">
        <v>1</v>
      </c>
    </row>
    <row r="44" spans="1:24">
      <c r="A44" t="s">
        <v>43</v>
      </c>
      <c r="B44">
        <v>37306.25</v>
      </c>
      <c r="C44">
        <v>75082.416700000002</v>
      </c>
      <c r="D44">
        <v>180195817</v>
      </c>
      <c r="E44">
        <v>402.51479999999998</v>
      </c>
      <c r="F44">
        <v>199.99780000000001</v>
      </c>
      <c r="G44">
        <v>2.4300000000000002</v>
      </c>
      <c r="H44">
        <v>0.85</v>
      </c>
      <c r="I44">
        <v>3.28</v>
      </c>
      <c r="J44" s="1">
        <f t="shared" si="1"/>
        <v>0</v>
      </c>
      <c r="K44" s="2">
        <f t="shared" si="12"/>
        <v>0</v>
      </c>
      <c r="L44">
        <v>1.1299999999999999</v>
      </c>
      <c r="M44" s="1">
        <f t="shared" si="2"/>
        <v>0</v>
      </c>
      <c r="N44" s="2">
        <f t="shared" si="3"/>
        <v>0</v>
      </c>
      <c r="O44">
        <v>2.42</v>
      </c>
      <c r="P44" s="1">
        <f t="shared" si="4"/>
        <v>0</v>
      </c>
      <c r="Q44" s="2">
        <f t="shared" si="5"/>
        <v>0</v>
      </c>
      <c r="R44" s="3">
        <f t="shared" si="6"/>
        <v>1.29</v>
      </c>
      <c r="S44" s="4">
        <f t="shared" si="7"/>
        <v>4.57</v>
      </c>
      <c r="T44" s="1">
        <f t="shared" si="8"/>
        <v>0</v>
      </c>
      <c r="U44" s="1">
        <f t="shared" si="9"/>
        <v>0</v>
      </c>
      <c r="V44" s="2">
        <f t="shared" si="10"/>
        <v>0</v>
      </c>
      <c r="W44" s="2">
        <f t="shared" si="11"/>
        <v>0</v>
      </c>
      <c r="X44">
        <v>1</v>
      </c>
    </row>
    <row r="45" spans="1:24">
      <c r="A45" t="s">
        <v>44</v>
      </c>
      <c r="B45">
        <v>354137.1667</v>
      </c>
      <c r="C45">
        <v>711945.75</v>
      </c>
      <c r="D45">
        <v>1623231075</v>
      </c>
      <c r="E45">
        <v>381.96850000000001</v>
      </c>
      <c r="F45">
        <v>189.99940000000001</v>
      </c>
      <c r="G45">
        <v>8.43</v>
      </c>
      <c r="H45">
        <v>1.04</v>
      </c>
      <c r="I45">
        <v>9.4700000000000006</v>
      </c>
      <c r="J45" s="1">
        <f t="shared" si="1"/>
        <v>10</v>
      </c>
      <c r="K45" s="2">
        <f t="shared" si="12"/>
        <v>162323107.5</v>
      </c>
      <c r="L45">
        <v>3.69</v>
      </c>
      <c r="M45" s="1">
        <f t="shared" si="2"/>
        <v>0</v>
      </c>
      <c r="N45" s="2">
        <f t="shared" si="3"/>
        <v>0</v>
      </c>
      <c r="O45">
        <v>5.15</v>
      </c>
      <c r="P45" s="1">
        <f t="shared" si="4"/>
        <v>0</v>
      </c>
      <c r="Q45" s="2">
        <f t="shared" si="5"/>
        <v>0</v>
      </c>
      <c r="R45" s="3">
        <f t="shared" si="6"/>
        <v>1.4600000000000004</v>
      </c>
      <c r="S45" s="4">
        <f t="shared" si="7"/>
        <v>10.930000000000001</v>
      </c>
      <c r="T45" s="1">
        <f t="shared" si="8"/>
        <v>15</v>
      </c>
      <c r="U45" s="1">
        <f t="shared" si="9"/>
        <v>5</v>
      </c>
      <c r="V45" s="2">
        <f t="shared" si="10"/>
        <v>243484661.25</v>
      </c>
      <c r="W45" s="2">
        <f t="shared" si="11"/>
        <v>81161553.75</v>
      </c>
      <c r="X45">
        <v>1</v>
      </c>
    </row>
    <row r="46" spans="1:24">
      <c r="A46" t="s">
        <v>45</v>
      </c>
      <c r="B46">
        <v>1466106.5833000001</v>
      </c>
      <c r="C46">
        <v>3193008.5833000001</v>
      </c>
      <c r="D46">
        <v>7332023032</v>
      </c>
      <c r="E46">
        <v>416.75139999999999</v>
      </c>
      <c r="F46">
        <v>191.3562</v>
      </c>
      <c r="G46">
        <v>5.77</v>
      </c>
      <c r="H46">
        <v>2.5499999999999998</v>
      </c>
      <c r="I46">
        <v>8.32</v>
      </c>
      <c r="J46" s="1">
        <f t="shared" si="1"/>
        <v>10</v>
      </c>
      <c r="K46" s="2">
        <f t="shared" si="12"/>
        <v>733202303.20000005</v>
      </c>
      <c r="L46">
        <v>4.92</v>
      </c>
      <c r="M46" s="1">
        <f t="shared" si="2"/>
        <v>0</v>
      </c>
      <c r="N46" s="2">
        <f t="shared" si="3"/>
        <v>0</v>
      </c>
      <c r="O46">
        <v>6.68</v>
      </c>
      <c r="P46" s="1">
        <f t="shared" si="4"/>
        <v>5</v>
      </c>
      <c r="Q46" s="2">
        <f t="shared" si="5"/>
        <v>366601151.60000002</v>
      </c>
      <c r="R46" s="3">
        <f t="shared" si="6"/>
        <v>1.7599999999999998</v>
      </c>
      <c r="S46" s="4">
        <f t="shared" si="7"/>
        <v>10.08</v>
      </c>
      <c r="T46" s="1">
        <f t="shared" si="8"/>
        <v>15</v>
      </c>
      <c r="U46" s="1">
        <f t="shared" si="9"/>
        <v>5</v>
      </c>
      <c r="V46" s="2">
        <f t="shared" si="10"/>
        <v>1099803454.8</v>
      </c>
      <c r="W46" s="2">
        <f t="shared" si="11"/>
        <v>366601151.5999999</v>
      </c>
      <c r="X46">
        <v>1</v>
      </c>
    </row>
    <row r="47" spans="1:24">
      <c r="A47" t="s">
        <v>46</v>
      </c>
      <c r="B47">
        <v>84989</v>
      </c>
      <c r="C47">
        <v>169281.3333</v>
      </c>
      <c r="D47">
        <v>382660017</v>
      </c>
      <c r="E47">
        <v>375.2054</v>
      </c>
      <c r="F47">
        <v>188.37479999999999</v>
      </c>
      <c r="G47">
        <v>5.09</v>
      </c>
      <c r="H47">
        <v>0.65</v>
      </c>
      <c r="I47">
        <v>5.74</v>
      </c>
      <c r="J47" s="1">
        <f t="shared" si="1"/>
        <v>0</v>
      </c>
      <c r="K47" s="2">
        <f t="shared" si="12"/>
        <v>0</v>
      </c>
      <c r="L47">
        <v>2.2000000000000002</v>
      </c>
      <c r="M47" s="1">
        <f t="shared" si="2"/>
        <v>0</v>
      </c>
      <c r="N47" s="2">
        <f t="shared" si="3"/>
        <v>0</v>
      </c>
      <c r="O47">
        <v>3.84</v>
      </c>
      <c r="P47" s="1">
        <f t="shared" si="4"/>
        <v>0</v>
      </c>
      <c r="Q47" s="2">
        <f t="shared" si="5"/>
        <v>0</v>
      </c>
      <c r="R47" s="3">
        <f t="shared" si="6"/>
        <v>1.6399999999999997</v>
      </c>
      <c r="S47" s="4">
        <f t="shared" si="7"/>
        <v>7.38</v>
      </c>
      <c r="T47" s="1">
        <f t="shared" si="8"/>
        <v>5</v>
      </c>
      <c r="U47" s="1">
        <f t="shared" si="9"/>
        <v>5</v>
      </c>
      <c r="V47" s="2">
        <f t="shared" si="10"/>
        <v>19133000.850000001</v>
      </c>
      <c r="W47" s="2">
        <f t="shared" si="11"/>
        <v>19133000.850000001</v>
      </c>
      <c r="X47">
        <v>1</v>
      </c>
    </row>
    <row r="48" spans="1:24">
      <c r="A48" t="s">
        <v>47</v>
      </c>
      <c r="B48">
        <v>39520.416700000002</v>
      </c>
      <c r="C48">
        <v>66493.25</v>
      </c>
      <c r="D48">
        <v>148302129</v>
      </c>
      <c r="E48">
        <v>312.71210000000002</v>
      </c>
      <c r="F48">
        <v>185.86109999999999</v>
      </c>
      <c r="G48">
        <v>4.74</v>
      </c>
      <c r="H48">
        <v>0.39</v>
      </c>
      <c r="I48">
        <v>5.13</v>
      </c>
      <c r="J48" s="1">
        <f t="shared" si="1"/>
        <v>0</v>
      </c>
      <c r="K48" s="2">
        <f t="shared" si="12"/>
        <v>0</v>
      </c>
      <c r="L48">
        <v>3.64</v>
      </c>
      <c r="M48" s="1">
        <f t="shared" si="2"/>
        <v>0</v>
      </c>
      <c r="N48" s="2">
        <f t="shared" si="3"/>
        <v>0</v>
      </c>
      <c r="O48">
        <v>5.56</v>
      </c>
      <c r="P48" s="1">
        <f t="shared" si="4"/>
        <v>0</v>
      </c>
      <c r="Q48" s="2">
        <f t="shared" si="5"/>
        <v>0</v>
      </c>
      <c r="R48" s="3">
        <f t="shared" si="6"/>
        <v>1.9199999999999995</v>
      </c>
      <c r="S48" s="4">
        <f t="shared" si="7"/>
        <v>7.0499999999999989</v>
      </c>
      <c r="T48" s="1">
        <f t="shared" si="8"/>
        <v>5</v>
      </c>
      <c r="U48" s="1">
        <f t="shared" si="9"/>
        <v>5</v>
      </c>
      <c r="V48" s="2">
        <f t="shared" si="10"/>
        <v>7415106.4500000002</v>
      </c>
      <c r="W48" s="2">
        <f t="shared" si="11"/>
        <v>7415106.4500000002</v>
      </c>
      <c r="X48">
        <v>1</v>
      </c>
    </row>
    <row r="49" spans="1:24">
      <c r="A49" t="s">
        <v>48</v>
      </c>
      <c r="B49">
        <v>10806.1667</v>
      </c>
      <c r="C49">
        <v>21460.833299999998</v>
      </c>
      <c r="D49">
        <v>70457505</v>
      </c>
      <c r="E49">
        <v>543.3433</v>
      </c>
      <c r="F49">
        <v>273.58949999999999</v>
      </c>
      <c r="G49">
        <v>3</v>
      </c>
      <c r="H49">
        <v>0.54</v>
      </c>
      <c r="I49">
        <v>3.54</v>
      </c>
      <c r="J49" s="1">
        <f t="shared" si="1"/>
        <v>0</v>
      </c>
      <c r="K49" s="2">
        <f t="shared" si="12"/>
        <v>0</v>
      </c>
      <c r="L49">
        <v>8.6</v>
      </c>
      <c r="M49" s="1">
        <f t="shared" si="2"/>
        <v>10</v>
      </c>
      <c r="N49" s="2">
        <f t="shared" si="3"/>
        <v>7045750.5</v>
      </c>
      <c r="O49">
        <v>9.9499999999999993</v>
      </c>
      <c r="P49" s="1">
        <f t="shared" si="4"/>
        <v>10</v>
      </c>
      <c r="Q49" s="2">
        <f t="shared" si="5"/>
        <v>7045750.5</v>
      </c>
      <c r="R49" s="3">
        <f t="shared" si="6"/>
        <v>1.3499999999999996</v>
      </c>
      <c r="S49" s="4">
        <f t="shared" si="7"/>
        <v>4.8899999999999997</v>
      </c>
      <c r="T49" s="1">
        <f t="shared" si="8"/>
        <v>0</v>
      </c>
      <c r="U49" s="1">
        <f t="shared" si="9"/>
        <v>0</v>
      </c>
      <c r="V49" s="2">
        <f t="shared" si="10"/>
        <v>0</v>
      </c>
      <c r="W49" s="2">
        <f t="shared" si="11"/>
        <v>0</v>
      </c>
      <c r="X49">
        <v>1</v>
      </c>
    </row>
    <row r="50" spans="1:24">
      <c r="A50" t="s">
        <v>49</v>
      </c>
      <c r="B50">
        <v>425305.5833</v>
      </c>
      <c r="C50">
        <v>827773.91669999994</v>
      </c>
      <c r="D50">
        <v>1616084924</v>
      </c>
      <c r="E50">
        <v>316.65170000000001</v>
      </c>
      <c r="F50">
        <v>162.69390000000001</v>
      </c>
      <c r="G50">
        <v>9.5399999999999991</v>
      </c>
      <c r="H50">
        <v>1.96</v>
      </c>
      <c r="I50">
        <v>11.5</v>
      </c>
      <c r="J50" s="1">
        <f t="shared" si="1"/>
        <v>15</v>
      </c>
      <c r="K50" s="2">
        <f t="shared" si="12"/>
        <v>242412738.59999999</v>
      </c>
      <c r="L50">
        <v>6.78</v>
      </c>
      <c r="M50" s="1">
        <f t="shared" si="2"/>
        <v>5</v>
      </c>
      <c r="N50" s="2">
        <f t="shared" si="3"/>
        <v>80804246.200000003</v>
      </c>
      <c r="O50">
        <v>8.76</v>
      </c>
      <c r="P50" s="1">
        <f t="shared" si="4"/>
        <v>10</v>
      </c>
      <c r="Q50" s="2">
        <f t="shared" si="5"/>
        <v>161608492.40000001</v>
      </c>
      <c r="R50" s="3">
        <f t="shared" si="6"/>
        <v>1.9799999999999995</v>
      </c>
      <c r="S50" s="4">
        <f t="shared" si="7"/>
        <v>13.48</v>
      </c>
      <c r="T50" s="1">
        <f t="shared" si="8"/>
        <v>15</v>
      </c>
      <c r="U50" s="1">
        <f t="shared" si="9"/>
        <v>0</v>
      </c>
      <c r="V50" s="2">
        <f t="shared" si="10"/>
        <v>242412738.59999999</v>
      </c>
      <c r="W50" s="2">
        <f t="shared" si="11"/>
        <v>0</v>
      </c>
      <c r="X50">
        <v>1</v>
      </c>
    </row>
    <row r="51" spans="1:24">
      <c r="A51" t="s">
        <v>50</v>
      </c>
      <c r="B51">
        <v>512693.75</v>
      </c>
      <c r="C51">
        <v>888316.16669999994</v>
      </c>
      <c r="D51">
        <v>1920375025</v>
      </c>
      <c r="E51">
        <v>312.13810000000001</v>
      </c>
      <c r="F51">
        <v>180.15119999999999</v>
      </c>
      <c r="G51">
        <v>5.79</v>
      </c>
      <c r="H51">
        <v>0.26</v>
      </c>
      <c r="I51">
        <v>6.06</v>
      </c>
      <c r="J51" s="1">
        <f t="shared" si="1"/>
        <v>5</v>
      </c>
      <c r="K51" s="2">
        <f t="shared" si="12"/>
        <v>96018751.25</v>
      </c>
      <c r="L51">
        <v>6.08</v>
      </c>
      <c r="M51" s="1">
        <f t="shared" si="2"/>
        <v>5</v>
      </c>
      <c r="N51" s="2">
        <f t="shared" si="3"/>
        <v>96018751.25</v>
      </c>
      <c r="O51">
        <v>7.11</v>
      </c>
      <c r="P51" s="1">
        <f t="shared" si="4"/>
        <v>5</v>
      </c>
      <c r="Q51" s="2">
        <f t="shared" si="5"/>
        <v>96018751.25</v>
      </c>
      <c r="R51" s="3">
        <f t="shared" si="6"/>
        <v>1.0300000000000002</v>
      </c>
      <c r="S51" s="4">
        <f t="shared" si="7"/>
        <v>7.09</v>
      </c>
      <c r="T51" s="1">
        <f t="shared" si="8"/>
        <v>5</v>
      </c>
      <c r="U51" s="1">
        <f t="shared" si="9"/>
        <v>0</v>
      </c>
      <c r="V51" s="2">
        <f t="shared" si="10"/>
        <v>96018751.25</v>
      </c>
      <c r="W51" s="2">
        <f t="shared" si="11"/>
        <v>0</v>
      </c>
      <c r="X51">
        <v>1</v>
      </c>
    </row>
    <row r="52" spans="1:24">
      <c r="A52" t="s">
        <v>51</v>
      </c>
      <c r="B52">
        <v>147956.6667</v>
      </c>
      <c r="C52">
        <v>277429.0833</v>
      </c>
      <c r="D52">
        <v>565647589</v>
      </c>
      <c r="E52">
        <v>318.58850000000001</v>
      </c>
      <c r="F52">
        <v>169.9076</v>
      </c>
      <c r="G52">
        <v>8.57</v>
      </c>
      <c r="H52">
        <v>0.86</v>
      </c>
      <c r="I52">
        <v>9.43</v>
      </c>
      <c r="J52" s="1">
        <f t="shared" si="1"/>
        <v>10</v>
      </c>
      <c r="K52" s="2">
        <f t="shared" si="12"/>
        <v>56564758.899999999</v>
      </c>
      <c r="L52">
        <v>4.97</v>
      </c>
      <c r="M52" s="1">
        <f t="shared" si="2"/>
        <v>0</v>
      </c>
      <c r="N52" s="2">
        <f t="shared" si="3"/>
        <v>0</v>
      </c>
      <c r="O52">
        <v>7.24</v>
      </c>
      <c r="P52" s="1">
        <f t="shared" si="4"/>
        <v>5</v>
      </c>
      <c r="Q52" s="2">
        <f>$D52*P52/100</f>
        <v>28282379.449999999</v>
      </c>
      <c r="R52" s="3">
        <f t="shared" si="6"/>
        <v>2.2700000000000005</v>
      </c>
      <c r="S52" s="4">
        <f t="shared" si="7"/>
        <v>11.7</v>
      </c>
      <c r="T52" s="1">
        <f t="shared" si="8"/>
        <v>15</v>
      </c>
      <c r="U52" s="1">
        <f t="shared" si="9"/>
        <v>5</v>
      </c>
      <c r="V52" s="2">
        <f t="shared" si="10"/>
        <v>84847138.349999994</v>
      </c>
      <c r="W52" s="2">
        <f t="shared" si="11"/>
        <v>28282379.449999996</v>
      </c>
      <c r="X52">
        <v>1</v>
      </c>
    </row>
    <row r="53" spans="1:24">
      <c r="A53" t="s">
        <v>52</v>
      </c>
      <c r="B53">
        <v>371065.1667</v>
      </c>
      <c r="C53">
        <v>705421.41669999994</v>
      </c>
      <c r="D53">
        <v>1363921863</v>
      </c>
      <c r="E53">
        <v>306.30779999999999</v>
      </c>
      <c r="F53">
        <v>161.12379999999999</v>
      </c>
      <c r="G53">
        <v>3.81</v>
      </c>
      <c r="H53">
        <v>0.66</v>
      </c>
      <c r="I53">
        <v>4.47</v>
      </c>
      <c r="J53" s="1">
        <f t="shared" si="1"/>
        <v>0</v>
      </c>
      <c r="K53" s="2">
        <f t="shared" si="12"/>
        <v>0</v>
      </c>
      <c r="L53">
        <v>4.83</v>
      </c>
      <c r="M53" s="1">
        <f t="shared" si="2"/>
        <v>0</v>
      </c>
      <c r="N53" s="2">
        <f t="shared" si="3"/>
        <v>0</v>
      </c>
      <c r="O53">
        <v>6.86</v>
      </c>
      <c r="P53" s="1">
        <f t="shared" si="4"/>
        <v>5</v>
      </c>
      <c r="Q53" s="2">
        <f t="shared" si="5"/>
        <v>68196093.150000006</v>
      </c>
      <c r="R53" s="3">
        <f t="shared" si="6"/>
        <v>2.0300000000000002</v>
      </c>
      <c r="S53" s="4">
        <f t="shared" si="7"/>
        <v>6.5</v>
      </c>
      <c r="T53" s="1">
        <f t="shared" si="8"/>
        <v>5</v>
      </c>
      <c r="U53" s="1">
        <f t="shared" si="9"/>
        <v>5</v>
      </c>
      <c r="V53" s="2">
        <f t="shared" si="10"/>
        <v>68196093.150000006</v>
      </c>
      <c r="W53" s="2">
        <f t="shared" si="11"/>
        <v>68196093.150000006</v>
      </c>
      <c r="X53">
        <v>1</v>
      </c>
    </row>
    <row r="54" spans="1:24">
      <c r="A54" t="s">
        <v>53</v>
      </c>
      <c r="B54">
        <v>13691</v>
      </c>
      <c r="C54">
        <v>29030.583299999998</v>
      </c>
      <c r="D54">
        <v>56701860</v>
      </c>
      <c r="E54">
        <v>345.12860000000001</v>
      </c>
      <c r="F54">
        <v>162.7647</v>
      </c>
      <c r="G54">
        <v>3.27</v>
      </c>
      <c r="H54">
        <v>1.85</v>
      </c>
      <c r="I54">
        <v>5.12</v>
      </c>
      <c r="J54" s="1">
        <f t="shared" si="1"/>
        <v>0</v>
      </c>
      <c r="K54" s="2">
        <f t="shared" si="12"/>
        <v>0</v>
      </c>
      <c r="L54">
        <v>1.25</v>
      </c>
      <c r="M54" s="1">
        <f t="shared" si="2"/>
        <v>0</v>
      </c>
      <c r="N54" s="2">
        <f t="shared" si="3"/>
        <v>0</v>
      </c>
      <c r="O54">
        <v>3</v>
      </c>
      <c r="P54" s="1">
        <f t="shared" si="4"/>
        <v>0</v>
      </c>
      <c r="Q54" s="2">
        <f t="shared" si="5"/>
        <v>0</v>
      </c>
      <c r="R54" s="3">
        <f t="shared" si="6"/>
        <v>1.75</v>
      </c>
      <c r="S54" s="4">
        <f t="shared" si="7"/>
        <v>6.87</v>
      </c>
      <c r="T54" s="1">
        <f t="shared" si="8"/>
        <v>5</v>
      </c>
      <c r="U54" s="1">
        <f t="shared" si="9"/>
        <v>5</v>
      </c>
      <c r="V54" s="2">
        <f t="shared" si="10"/>
        <v>2835093</v>
      </c>
      <c r="W54" s="2">
        <f t="shared" si="11"/>
        <v>2835093</v>
      </c>
      <c r="X54">
        <v>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Giannella</cp:lastModifiedBy>
  <dcterms:created xsi:type="dcterms:W3CDTF">2026-04-10T01:26:30Z</dcterms:created>
  <dcterms:modified xsi:type="dcterms:W3CDTF">2026-04-14T20:52:57Z</dcterms:modified>
</cp:coreProperties>
</file>